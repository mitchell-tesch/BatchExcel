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tchell.tesch\source\repos\BatchExcel\"/>
    </mc:Choice>
  </mc:AlternateContent>
  <xr:revisionPtr revIDLastSave="0" documentId="13_ncr:1_{C7E7BA57-E1A5-43D5-9965-1E9AFED61CC5}" xr6:coauthVersionLast="47" xr6:coauthVersionMax="47" xr10:uidLastSave="{00000000-0000-0000-0000-000000000000}"/>
  <bookViews>
    <workbookView xWindow="-120" yWindow="450" windowWidth="51840" windowHeight="20550" xr2:uid="{2E6C8D44-22CE-4E35-8DEB-B1F975846751}"/>
  </bookViews>
  <sheets>
    <sheet name="Main" sheetId="1" r:id="rId1"/>
  </sheets>
  <externalReferences>
    <externalReference r:id="rId2"/>
    <externalReference r:id="rId3"/>
    <externalReference r:id="rId4"/>
  </externalReferences>
  <definedNames>
    <definedName name="A0">[1]Main!$W$273</definedName>
    <definedName name="A0h">[1]Main!$W$272</definedName>
    <definedName name="Aceff_sls_x">[1]Main!$W$442</definedName>
    <definedName name="Aceff_sls_y">[1]Main!$W$496</definedName>
    <definedName name="Acp">[1]Main!$W$275</definedName>
    <definedName name="Act_x">[1]Main!$W$335</definedName>
    <definedName name="Act_y">[1]Main!$W$296</definedName>
    <definedName name="Ag">[1]Main!$W$146</definedName>
    <definedName name="alpha_1">[1]Main!$W$163</definedName>
    <definedName name="alpha_2">[1]Main!$W$164</definedName>
    <definedName name="alpha_c_x">[1]Main!$W$189</definedName>
    <definedName name="alpha_c_y">[1]Main!$W$226</definedName>
    <definedName name="alpha_n">[1]Main!$W$243</definedName>
    <definedName name="alpha_v_x">[1]Main!$AN$83</definedName>
    <definedName name="alpha_v_y">[1]Main!$AN$82</definedName>
    <definedName name="alpha1_shrink">[1]Main!$W$373</definedName>
    <definedName name="alpha2_creep">[1]Main!$W$379</definedName>
    <definedName name="alpha3_creep">[1]Main!$W$382</definedName>
    <definedName name="Ap_sls_x">[1]Main!$W$441</definedName>
    <definedName name="Ap_sls_y">[1]Main!$W$495</definedName>
    <definedName name="Aps">[1]Main!$U$38</definedName>
    <definedName name="Apt_x">[1]Main!$W$334</definedName>
    <definedName name="Apt_y">[1]Main!$W$295</definedName>
    <definedName name="AptSigmapu_x">[1]Main!$W$362</definedName>
    <definedName name="AptSigmapu_y">[1]Main!$W$323</definedName>
    <definedName name="As_cl">[1]Main!$V$81</definedName>
    <definedName name="As_ol_x">[1]Main!$V$83</definedName>
    <definedName name="As_ol_y">[1]Main!$V$82</definedName>
    <definedName name="As_sls_x">[1]Main!$W$440</definedName>
    <definedName name="As_sls_y">[1]Main!$W$494</definedName>
    <definedName name="Asc_x">[1]Main!$W$366</definedName>
    <definedName name="Asc_y">[1]Main!$W$327</definedName>
    <definedName name="Ast_min_x">[1]Main!$W$171</definedName>
    <definedName name="Ast_min_y">[1]Main!$W$208</definedName>
    <definedName name="Ast_x">[1]Main!$W$333</definedName>
    <definedName name="Ast_y">[1]Main!$W$294</definedName>
    <definedName name="Asv_min_x">[1]Main!$W$341</definedName>
    <definedName name="Asv_min_y">[1]Main!$W$302</definedName>
    <definedName name="Asv_x">[1]Main!$W$340</definedName>
    <definedName name="Asv_y">[1]Main!$W$301</definedName>
    <definedName name="Asw">[1]Main!$W$285</definedName>
    <definedName name="Asw_min">[1]Main!$W$286</definedName>
    <definedName name="Beta_d">[1]Main!$R$127</definedName>
    <definedName name="beta_d_x_eff">[1]Main!$W$192</definedName>
    <definedName name="beta_d_y_eff">[1]Main!$W$229</definedName>
    <definedName name="biaxial_req">[1]Main!$W$242</definedName>
    <definedName name="biaxial_util">[1]Main!$W$244</definedName>
    <definedName name="braced_unbraced_x">[1]Main!$U$17</definedName>
    <definedName name="braced_unbraced_y">[1]Main!$U$22</definedName>
    <definedName name="bv_x">[1]Main!$W$331</definedName>
    <definedName name="bv_y">[1]Main!$W$292</definedName>
    <definedName name="c_bot">[1]Main!$U$10</definedName>
    <definedName name="c_dur">[1]Main!$U$12</definedName>
    <definedName name="c_side">[1]Main!$U$11</definedName>
    <definedName name="c_top">[1]Main!$U$9</definedName>
    <definedName name="CalcLLR">'[2]Constants and Controls'!$B$11</definedName>
    <definedName name="closely_spaced_x?">[1]Main!$W$448</definedName>
    <definedName name="closely_spaced_y?">[1]Main!$W$502</definedName>
    <definedName name="Column_class_major">[1]Main!$W$190</definedName>
    <definedName name="Column_class_minor">[1]Main!$W$227</definedName>
    <definedName name="conc_mix">[1]Main!$U$25</definedName>
    <definedName name="ConcDensity">'[2]Constants and Controls'!$B$12</definedName>
    <definedName name="D_depth">[1]Main!$U$7</definedName>
    <definedName name="d_major">[1]RSB_MajorAxis!$B$5</definedName>
    <definedName name="d_minor">[1]RSB_MinorAxis!$B$5</definedName>
    <definedName name="d_o_major">[1]RSB_MajorAxis!$B$4</definedName>
    <definedName name="d_o_minor">[1]RSB_MinorAxis!$B$4</definedName>
    <definedName name="d_om_x">[1]Main!$W$172</definedName>
    <definedName name="d_om_y">[1]Main!$W$209</definedName>
    <definedName name="d_x">[1]Main!$W$173</definedName>
    <definedName name="d_y">[1]Main!$W$210</definedName>
    <definedName name="ddx">[1]Main!$S$99</definedName>
    <definedName name="ddy">[1]Main!$S$114</definedName>
    <definedName name="delta_b_x">[1]Main!$W$195</definedName>
    <definedName name="delta_b_x_sls">[1]Main!$W$402</definedName>
    <definedName name="delta_b_y">[1]Main!$W$232</definedName>
    <definedName name="delta_b_y_sls">[1]Main!$W$456</definedName>
    <definedName name="Delta_Ftd_tor">[1]Main!$W$288</definedName>
    <definedName name="Delta_Ftd_v_x">[1]Main!$W$354</definedName>
    <definedName name="Delta_Ftd_v_y">[1]Main!$W$315</definedName>
    <definedName name="Delta_Ftd_x">[1]Main!$W$360</definedName>
    <definedName name="Delta_Ftd_y">[1]Main!$W$321</definedName>
    <definedName name="delta_s_x">[1]Main!$W$196</definedName>
    <definedName name="delta_s_x_sls">[1]Main!$W$403</definedName>
    <definedName name="delta_s_y">[1]Main!$W$233</definedName>
    <definedName name="delta_s_y_sls">[1]Main!$W$457</definedName>
    <definedName name="DesignGroups">'[2]Constants and Controls'!$M$3:$AG$130</definedName>
    <definedName name="dg">[1]Main!$U$29</definedName>
    <definedName name="DLLocation">'[2]Constants and Controls'!$B$47</definedName>
    <definedName name="dNA_sls_ps_x">[1]RSB_MajorAxis!$F$224</definedName>
    <definedName name="dNA_sls_ps_y">[1]RSB_MinorAxis!$F$224</definedName>
    <definedName name="dNA_sls_r_x">[1]RSB_MajorAxis!$N$224</definedName>
    <definedName name="dNA_sls_r_y">[1]RSB_MinorAxis!$N$224</definedName>
    <definedName name="dNA_sls_x">[1]Main!$W$408</definedName>
    <definedName name="dNA_sls_y">[1]Main!$W$462</definedName>
    <definedName name="dp_sls_x">[1]Main!$W$444</definedName>
    <definedName name="dp_sls_y">[1]Main!$W$498</definedName>
    <definedName name="dps">[1]Main!$U$37</definedName>
    <definedName name="ds_sls_x">[1]Main!$W$443</definedName>
    <definedName name="ds_sls_y">[1]Main!$W$497</definedName>
    <definedName name="dv_x">[1]Main!$W$332</definedName>
    <definedName name="dv_y">[1]Main!$W$293</definedName>
    <definedName name="e_x_eff">[1]Main!$W$198</definedName>
    <definedName name="e_y_eff">[1]Main!$W$235</definedName>
    <definedName name="Ec">[1]Main!$U$27</definedName>
    <definedName name="Ec_eff">[1]Main!$W$388</definedName>
    <definedName name="Ecm">[1]Main!$W$385</definedName>
    <definedName name="el_ps_sigmat0_sls_x">[1]RSB_MajorAxis!$F$433</definedName>
    <definedName name="el_ps_sigmat0_sls_y">[1]RSB_MinorAxis!$F$433</definedName>
    <definedName name="el_ps_sigmat0_slsdec_x">[1]RSB_MajorAxis!$C$433</definedName>
    <definedName name="el_ps_sigmat0_slsdec_y">[1]RSB_MinorAxis!$C$433</definedName>
    <definedName name="el_ps_SoM_sls_x">[1]RSB_MajorAxis!$F$430</definedName>
    <definedName name="el_ps_SoM_sls_y">[1]RSB_MinorAxis!$F$430</definedName>
    <definedName name="el_ps_SoM_slsdec_x">[1]RSB_MajorAxis!$C$430</definedName>
    <definedName name="el_ps_SoM_slsdec_y">[1]RSB_MinorAxis!$C$430</definedName>
    <definedName name="environment">[1]Main!$S$46</definedName>
    <definedName name="Ep">[1]Main!$U$43</definedName>
    <definedName name="epsilon_1_ps_x">[1]RSB_MajorAxis!$F$459</definedName>
    <definedName name="epsilon_1_ps_y">[1]RSB_MinorAxis!$F$459</definedName>
    <definedName name="epsilon_1_r_x">[1]RSB_MajorAxis!$N$339</definedName>
    <definedName name="epsilon_1_r_y">[1]RSB_MinorAxis!$N$339</definedName>
    <definedName name="epsilon_1_x">[1]Main!$W$409</definedName>
    <definedName name="epsilon_1_y">[1]Main!$W$463</definedName>
    <definedName name="epsilon_2_ps_x">[1]RSB_MajorAxis!$F$460</definedName>
    <definedName name="epsilon_2_ps_y">[1]RSB_MinorAxis!$F$460</definedName>
    <definedName name="epsilon_2_r_x">[1]RSB_MajorAxis!$N$340</definedName>
    <definedName name="epsilon_2_r_y">[1]RSB_MinorAxis!$N$340</definedName>
    <definedName name="epsilon_2_x">[1]Main!$W$410</definedName>
    <definedName name="epsilon_2_y">[1]Main!$W$464</definedName>
    <definedName name="epsilon_c_max">[1]Main!$W$159</definedName>
    <definedName name="epsilon_csd">[1]Main!$W$376</definedName>
    <definedName name="epsilon_csd_b">[1]Main!$W$372</definedName>
    <definedName name="epsilon_csd_b_star">[1]Main!$U$47</definedName>
    <definedName name="epsilon_cse">[1]Main!$W$371</definedName>
    <definedName name="epsilon_pe">[1]Main!$W$162</definedName>
    <definedName name="epsilon_py">[1]Main!$W$161</definedName>
    <definedName name="epsilon_sm_cm_x">[1]Main!$W$451</definedName>
    <definedName name="epsilon_sm_cm_y">[1]Main!$W$505</definedName>
    <definedName name="epsilon_sy">[1]Main!$W$160</definedName>
    <definedName name="epsilon_x">[1]Main!$W$339</definedName>
    <definedName name="epsilon_y">[1]Main!$W$300</definedName>
    <definedName name="Es">[1]Main!$U$33</definedName>
    <definedName name="exposure_class">[1]Main!$U$48</definedName>
    <definedName name="f_ctm">[1]Main!$W$398</definedName>
    <definedName name="fcc">[1]Main!$U$26</definedName>
    <definedName name="fcc_tf">[1]Main!$W$166</definedName>
    <definedName name="Fcd_x">[1]Main!$W$365</definedName>
    <definedName name="Fcd_y">[1]Main!$W$326</definedName>
    <definedName name="fpb">[1]Main!$U$35</definedName>
    <definedName name="fpe">[1]Main!$U$42</definedName>
    <definedName name="fpy">[1]Main!$U$36</definedName>
    <definedName name="frame_avg_br_x">[1]Main!$U$16</definedName>
    <definedName name="frame_avg_br_y">[1]Main!$U$21</definedName>
    <definedName name="fsy">[1]Main!$U$31</definedName>
    <definedName name="fsy_l">[1]Main!$U$32</definedName>
    <definedName name="Ftd_x">[1]Main!$W$361</definedName>
    <definedName name="Ftd_y">[1]Main!$W$322</definedName>
    <definedName name="gamma">[1]Main!$W$165</definedName>
    <definedName name="gamma_p_x">[1]Main!$W$353</definedName>
    <definedName name="gamma_p_y">[1]Main!$W$314</definedName>
    <definedName name="hceff_x">[1]Main!$W$439</definedName>
    <definedName name="hceff_y">[1]Main!$W$493</definedName>
    <definedName name="Ig_x">[1]Main!$W$147</definedName>
    <definedName name="Ig_y">[1]Main!$W$148</definedName>
    <definedName name="InfluenceCells">[1]Main!$U$7:$X$12,[1]Main!$U$14:$X$23,[1]Main!$U$26:$X$44,[1]Main!$S$46,[1]Main!$U$47:$X$52,[1]Main!$S$53,[1]Main!$M$87:$O$96,[1]Main!$S$87:$U$96,[1]Main!$Y$87:$AB$96,[1]Main!$S$98,[1]Main!$M$102:$O$111,[1]Main!$S$102:$U$111,[1]Main!$Y$102:$AB$111,[1]Main!$S$113,[1]Main!$O$57:$R$66,[1]Main!$V$57:$Y$66,[1]Main!$AF$57:$AI$66,[1]Main!$O$69:$R$78,[1]Main!$V$69:$Y$78,[1]Main!$AF$69:$AI$78,[1]Main!$AD$81:$AG$83,[1]Main!$O$81:$R$83,[1]Main!$R$125:$U$132,[1]Main!$R$134:$U$137,[1]Main!$R$131,[1]Main!$AA$137,[1]Main!$AA$132,[1]Main!$R$141:$U$143</definedName>
    <definedName name="JobNumber">'[2]Constants and Controls'!$B$3</definedName>
    <definedName name="k1_shrink">[1]Main!$W$374</definedName>
    <definedName name="k1_srmax">[1]Main!$W$393</definedName>
    <definedName name="k2_creep">[1]Main!$W$380</definedName>
    <definedName name="k2_x">[1]Main!$W$438</definedName>
    <definedName name="k2_y">[1]Main!$W$492</definedName>
    <definedName name="k3_creep">[1]Main!$W$381</definedName>
    <definedName name="k3_srmax">[1]Main!$W$394</definedName>
    <definedName name="k4_shrink_creep">[1]Main!$W$375</definedName>
    <definedName name="k4_srmax">[1]Main!$W$395</definedName>
    <definedName name="k5_creep">[1]Main!$W$383</definedName>
    <definedName name="kd">[1]Main!$U$44</definedName>
    <definedName name="kdg_x">[1]Main!$W$342</definedName>
    <definedName name="kdg_y">[1]Main!$W$303</definedName>
    <definedName name="ke_x">[1]Main!$U$15</definedName>
    <definedName name="ke_y">[1]Main!$U$20</definedName>
    <definedName name="km_x">[1]Main!$W$194</definedName>
    <definedName name="km_y">[1]Main!$W$231</definedName>
    <definedName name="kt">[1]Main!$W$397</definedName>
    <definedName name="kv_x">[1]Main!$W$343</definedName>
    <definedName name="kv_y">[1]Main!$W$304</definedName>
    <definedName name="L_x">[1]Main!$U$14</definedName>
    <definedName name="L_y">[1]Main!$U$19</definedName>
    <definedName name="Le_x">[1]Main!$W$187</definedName>
    <definedName name="Le_y">[1]Main!$W$224</definedName>
    <definedName name="LevelsList">'[2]Constants and Controls'!$F$9:$F$80</definedName>
    <definedName name="LevelsTable">'[2]Constants and Controls'!$F$19:$H$138</definedName>
    <definedName name="load_reverse_x">[1]Main!$R$131</definedName>
    <definedName name="load_reverse_y">[1]Main!$R$136</definedName>
    <definedName name="LoadSummary">'[2]Constants and Controls'!$A$18:$B$128</definedName>
    <definedName name="LoadSummaryColumns">'[2]Constants and Controls'!$A$18:$A$128</definedName>
    <definedName name="location_tension_x">[1]Main!$W$168</definedName>
    <definedName name="location_tension_y">[1]Main!$W$205</definedName>
    <definedName name="Mdec_x">[1]Main!$W$413</definedName>
    <definedName name="Mdec_y">[1]Main!$W$467</definedName>
    <definedName name="Msls_x">[1]Main!$R$142</definedName>
    <definedName name="Msls_x_mag">[1]Main!$W$404</definedName>
    <definedName name="Msls_y">[1]Main!$R$143</definedName>
    <definedName name="Msls_y_mag">[1]Main!$W$458</definedName>
    <definedName name="Mstar_min_x">[1]Main!$R$133</definedName>
    <definedName name="Mstar_min_y">[1]Main!$R$138</definedName>
    <definedName name="Mstar_x">[1]Main!$W$175</definedName>
    <definedName name="Mstar_x_1">[1]Main!$R$132</definedName>
    <definedName name="Mstar_x_2">[1]Main!$AA$132</definedName>
    <definedName name="Mstar_x_input">[1]Main!$R$129</definedName>
    <definedName name="Mstar_x_mag">[1]Main!$W$197</definedName>
    <definedName name="Mstar_x_shear_y">[1]Main!$W$282</definedName>
    <definedName name="Mstar_y">[1]Main!$W$212</definedName>
    <definedName name="Mstar_y_1">[1]Main!$R$137</definedName>
    <definedName name="Mstar_y_2">[1]Main!$AA$137</definedName>
    <definedName name="Mstar_y_input">[1]Main!$R$134</definedName>
    <definedName name="Mstar_y_mag">[1]Main!$W$234</definedName>
    <definedName name="Mstar_y_shear_x">[1]Main!$W$283</definedName>
    <definedName name="Muo_min_x">[1]Main!$W$170</definedName>
    <definedName name="Muo_min_y">[1]Main!$W$207</definedName>
    <definedName name="n_s_st">[1]Main!$W$387</definedName>
    <definedName name="Nc_x">[1]Main!$W$193</definedName>
    <definedName name="Nc_y">[1]Main!$W$230</definedName>
    <definedName name="no_pu">[1]Main!$R$116</definedName>
    <definedName name="NRLLLocation">'[2]Constants and Controls'!$B$48</definedName>
    <definedName name="Nsls">[1]Main!$R$141</definedName>
    <definedName name="Nstar">[1]Main!$R$125</definedName>
    <definedName name="Nstar_min">[1]Main!$R$126</definedName>
    <definedName name="Nstar_shear">[1]Main!$W$281</definedName>
    <definedName name="percent_trans">[1]Main!$U$39</definedName>
    <definedName name="pf_AptSigmapu_x">[1]RSB_MajorAxis!$D$217</definedName>
    <definedName name="pf_AptSigmapu_y">[1]RSB_MinorAxis!$D$217</definedName>
    <definedName name="pf_Asc_x">[1]RSB_MajorAxis!$D$216</definedName>
    <definedName name="pf_Asc_y">[1]RSB_MinorAxis!$D$216</definedName>
    <definedName name="pf_Ast_x">[1]RSB_MajorAxis!$D$215</definedName>
    <definedName name="pf_Ast_y">[1]RSB_MinorAxis!$D$215</definedName>
    <definedName name="pf_dv_x">[1]RSB_MajorAxis!$D$214</definedName>
    <definedName name="pf_dv_y">[1]RSB_MinorAxis!$D$214</definedName>
    <definedName name="pf_ku_x">[1]RSB_MajorAxis!$D$8</definedName>
    <definedName name="pf_ku_y">[1]RSB_MinorAxis!$D$8</definedName>
    <definedName name="pf_Mu_x">[1]RSB_MajorAxis!$D$211</definedName>
    <definedName name="pf_Mu_y">[1]RSB_MinorAxis!$D$211</definedName>
    <definedName name="pf_Nu_x">[1]RSB_MajorAxis!$D$210</definedName>
    <definedName name="pf_Nu_y">[1]RSB_MinorAxis!$D$210</definedName>
    <definedName name="pf_phi_x">[1]RSB_MajorAxis!$D$12</definedName>
    <definedName name="pf_phi_y">[1]RSB_MinorAxis!$D$12</definedName>
    <definedName name="phi_cc">[1]Main!$W$384</definedName>
    <definedName name="phi_cc_basic">[1]Main!$U$28</definedName>
    <definedName name="phi_eq_x">[1]Main!$W$447</definedName>
    <definedName name="phi_eq_y">[1]Main!$W$501</definedName>
    <definedName name="phi_shear">[1]Main!$W$270</definedName>
    <definedName name="phi_shear_tor_long_x">[1]Main!$W$359</definedName>
    <definedName name="phi_shear_tor_long_y">[1]Main!$W$320</definedName>
    <definedName name="phi_torsion">[1]Main!$W$269</definedName>
    <definedName name="phiFc_x">[1]Main!$W$367</definedName>
    <definedName name="phiFc_y">[1]Main!$W$328</definedName>
    <definedName name="phiFt_x">[1]Main!$W$363</definedName>
    <definedName name="phiFt_y">[1]Main!$W$324</definedName>
    <definedName name="phiMu_major">[1]RSB_MajorAxis!$AE$37</definedName>
    <definedName name="phiMu_minor">[1]RSB_MinorAxis!$AE$37</definedName>
    <definedName name="phiMu_x_i">[1]Main!$W$202</definedName>
    <definedName name="phiMu_x_pf">[1]Main!$W$180</definedName>
    <definedName name="phiMu_y_i">[1]Main!$W$239</definedName>
    <definedName name="phiMu_y_pf">[1]Main!$W$217</definedName>
    <definedName name="phiMub_major">[1]RSB_MajorAxis!$O$213</definedName>
    <definedName name="phiMub_minor">[1]RSB_MinorAxis!$O$213</definedName>
    <definedName name="phiMub_x">[1]Main!$W$201</definedName>
    <definedName name="phiMub_y">[1]Main!$W$238</definedName>
    <definedName name="phiMud_major">[1]RSB_MajorAxis!$Z$213</definedName>
    <definedName name="phiMud_minor">[1]RSB_MinorAxis!$Z$213</definedName>
    <definedName name="phiNu_major">[1]RSB_MajorAxis!$AJ$64</definedName>
    <definedName name="phiNu_minor">[1]RSB_MinorAxis!$AJ$64</definedName>
    <definedName name="phiNu_x">[1]Main!$W$203</definedName>
    <definedName name="phiNu_y">[1]Main!$W$240</definedName>
    <definedName name="phiNub_major">[1]RSB_MajorAxis!$O$212</definedName>
    <definedName name="phiNub_minor">[1]RSB_MinorAxis!$O$212</definedName>
    <definedName name="phiNud_major">[1]RSB_MajorAxis!$Z$212</definedName>
    <definedName name="phiNud_minor">[1]RSB_MinorAxis!$Z$212</definedName>
    <definedName name="phiNuo_major">[1]RSB_MajorAxis!$AA$212</definedName>
    <definedName name="phiNuo_minor">[1]RSB_MinorAxis!$AA$212</definedName>
    <definedName name="phiNuo_x">[1]Main!$W$182</definedName>
    <definedName name="phiNuo_y">[1]Main!$W$219</definedName>
    <definedName name="phiNut_major">[1]RSB_MajorAxis!$C$212</definedName>
    <definedName name="phiNut_minor">[1]RSB_MinorAxis!$C$212</definedName>
    <definedName name="phiTus">[1]Main!$W$287</definedName>
    <definedName name="phiVu_max_tor_x">[1]Main!$W$352</definedName>
    <definedName name="phiVu_max_tor_y">[1]Main!$W$313</definedName>
    <definedName name="phiVu_max_x">[1]Main!$W$351</definedName>
    <definedName name="phiVu_max_y">[1]Main!$W$312</definedName>
    <definedName name="phiVu_x">[1]Main!$W$350</definedName>
    <definedName name="phiVu_y">[1]Main!$W$311</definedName>
    <definedName name="phiVuc_x">[1]Main!$W$346</definedName>
    <definedName name="phiVuc_y">[1]Main!$W$307</definedName>
    <definedName name="phiVus_x">[1]Main!$W$349</definedName>
    <definedName name="phiVus_y">[1]Main!$W$310</definedName>
    <definedName name="Ploss">[1]Main!$U$41</definedName>
    <definedName name="Ppst">[1]Main!$U$40</definedName>
    <definedName name="Ppt">[1]Main!$R$117</definedName>
    <definedName name="pre_post?">[1]Main!$S$53</definedName>
    <definedName name="ProjectName">'[2]Constants and Controls'!$B$2</definedName>
    <definedName name="Pv_x">[1]Main!$S$113</definedName>
    <definedName name="Pv_y">[1]Main!$S$98</definedName>
    <definedName name="r_x">[1]Main!$W$149</definedName>
    <definedName name="r_y">[1]Main!$W$150</definedName>
    <definedName name="ratio_em_x">[1]Main!$W$186</definedName>
    <definedName name="ratio_em_y">[1]Main!$W$223</definedName>
    <definedName name="RedAreaLocation">'[2]Constants and Controls'!$B$41</definedName>
    <definedName name="RedLLLocation">'[2]Constants and Controls'!$B$49</definedName>
    <definedName name="rho_peff_x">[1]Main!$W$446</definedName>
    <definedName name="rho_peff_y">[1]Main!$W$500</definedName>
    <definedName name="s_cl">[1]Main!$AD$81</definedName>
    <definedName name="s_long_max_tor">[1]Main!$W$290</definedName>
    <definedName name="s_long_max_x">[1]Main!$W$358</definedName>
    <definedName name="s_long_max_y">[1]Main!$W$319</definedName>
    <definedName name="s_long_tor">[1]Main!$W$289</definedName>
    <definedName name="s_long_x">[1]Main!$W$357</definedName>
    <definedName name="s_long_y">[1]Main!$W$318</definedName>
    <definedName name="s_ol_x">[1]Main!$AD$83</definedName>
    <definedName name="s_ol_y">[1]Main!$AD$82</definedName>
    <definedName name="s_trans_max_x">[1]Main!$W$356</definedName>
    <definedName name="s_trans_max_y">[1]Main!$W$317</definedName>
    <definedName name="s_trans_x">[1]Main!$W$355</definedName>
    <definedName name="s_trans_y">[1]Main!$W$316</definedName>
    <definedName name="sc_lowerNlimit_x">[1]RSB_MajorAxis!$AD$10</definedName>
    <definedName name="sc_lowerNlimit_y">[1]RSB_MinorAxis!$AD$10</definedName>
    <definedName name="section_type">[1]Main!$W$156</definedName>
    <definedName name="service_term">[1]Main!$U$49</definedName>
    <definedName name="shear_reo_req_x">[1]Main!$W$347</definedName>
    <definedName name="shear_reo_req_y">[1]Main!$W$308</definedName>
    <definedName name="sigma_cp">[1]Main!$W$277</definedName>
    <definedName name="sigma_pt_bot_x">[1]RSB_MajorAxis!$D$45</definedName>
    <definedName name="sigma_pt_bot_y">[1]RSB_MinorAxis!$D$45</definedName>
    <definedName name="sigma_pt_top_x">[1]RSB_MajorAxis!$D$43</definedName>
    <definedName name="sigma_pt_top_y">[1]RSB_MinorAxis!$D$43</definedName>
    <definedName name="sigma_s_x">[1]Main!$W$450</definedName>
    <definedName name="sigma_s_y">[1]Main!$W$504</definedName>
    <definedName name="slenderness_x">[1]Main!$W$188</definedName>
    <definedName name="slenderness_y">[1]Main!$W$225</definedName>
    <definedName name="sls_loading_case">[1]Main!$W$392</definedName>
    <definedName name="solver_adj" localSheetId="0" hidden="1">Main!#REF!</definedName>
    <definedName name="solver_eng" localSheetId="0" hidden="1">1</definedName>
    <definedName name="solver_est" localSheetId="0" hidden="1">1</definedName>
    <definedName name="solver_lhs1" localSheetId="0" hidden="1">Main!#REF!</definedName>
    <definedName name="solver_lhs2" localSheetId="0" hidden="1">Main!#REF!</definedName>
    <definedName name="solver_neg" localSheetId="0" hidden="1">1</definedName>
    <definedName name="solver_num" localSheetId="0" hidden="1">2</definedName>
    <definedName name="solver_opt" localSheetId="0" hidden="1">Main!#REF!</definedName>
    <definedName name="solver_pre" localSheetId="0" hidden="1">0.001</definedName>
    <definedName name="solver_rel1" localSheetId="0" hidden="1">1</definedName>
    <definedName name="solver_rel2" localSheetId="0" hidden="1">1</definedName>
    <definedName name="solver_rhs1" localSheetId="0" hidden="1">0.003</definedName>
    <definedName name="solver_rhs2" localSheetId="0" hidden="1">0.999</definedName>
    <definedName name="solver_sho" localSheetId="0" hidden="1">2</definedName>
    <definedName name="solver_typ" localSheetId="0" hidden="1">3</definedName>
    <definedName name="solver_val" localSheetId="0" hidden="1">0.999</definedName>
    <definedName name="solver_ver" localSheetId="0" hidden="1">3</definedName>
    <definedName name="spec_confine_req">[1]Main!$W$245</definedName>
    <definedName name="sr_max_x">[1]Main!$W$449</definedName>
    <definedName name="sr_max_y">[1]Main!$W$503</definedName>
    <definedName name="t_final">[1]Main!$U$51</definedName>
    <definedName name="t_initial">[1]Main!$U$50</definedName>
    <definedName name="T4_ColumnsVsSlabs">'[3]Typical Offsets'!$D$8</definedName>
    <definedName name="Tcr">[1]Main!$W$278</definedName>
    <definedName name="th">[1]Main!$W$155</definedName>
    <definedName name="theta_x">[1]Main!$W$344</definedName>
    <definedName name="theta_y">[1]Main!$W$305</definedName>
    <definedName name="torsion_req">[1]Main!$W$279</definedName>
    <definedName name="transverse_load_major">[1]Main!$U$18</definedName>
    <definedName name="transverse_load_minor">[1]Main!$U$23</definedName>
    <definedName name="Tstar">[1]Main!$R$128</definedName>
    <definedName name="Tstar_shear">[1]Main!$W$280</definedName>
    <definedName name="uc">[1]Main!$W$276</definedName>
    <definedName name="ue">[1]Main!$U$52</definedName>
    <definedName name="uh">[1]Main!$W$271</definedName>
    <definedName name="UltDLFact">'[2]Constants and Controls'!$B$13</definedName>
    <definedName name="UltLLFact">'[2]Constants and Controls'!$B$14</definedName>
    <definedName name="Vstar_x">[1]Main!$R$135</definedName>
    <definedName name="Vstar_y">[1]Main!$R$130</definedName>
    <definedName name="Vuc_x">[1]Main!$W$345</definedName>
    <definedName name="Vuc_y">[1]Main!$W$306</definedName>
    <definedName name="W_width">[1]Main!$U$8</definedName>
    <definedName name="wk_x">[1]Main!$W$452</definedName>
    <definedName name="wk_y">[1]Main!$W$506</definedName>
    <definedName name="x_cg">[1]Main!$W$152</definedName>
    <definedName name="XLocation">'[2]Constants and Controls'!$B$8</definedName>
    <definedName name="y_cg">[1]Main!$W$151</definedName>
    <definedName name="y_pt">[1]Main!$R$119</definedName>
    <definedName name="y1_y">[1]Main!$W$284</definedName>
    <definedName name="YLocation">'[2]Constants and Controls'!$B$9</definedName>
    <definedName name="zeta_1_sls_x">[1]Main!$W$445</definedName>
    <definedName name="zeta_1_sls_y">[1]Main!$W$499</definedName>
    <definedName name="zeta_br">[1]Main!$W$396</definedName>
    <definedName name="Zx">[1]Main!$W$169</definedName>
    <definedName name="Zy">[1]Main!$W$206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" i="1" l="1"/>
  <c r="A61" i="1" s="1"/>
  <c r="A62" i="1" s="1"/>
  <c r="A63" i="1" s="1"/>
  <c r="A64" i="1" s="1"/>
  <c r="A65" i="1" s="1"/>
  <c r="A66" i="1" s="1"/>
  <c r="A67" i="1" s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19" i="1"/>
  <c r="A1" i="1"/>
</calcChain>
</file>

<file path=xl/sharedStrings.xml><?xml version="1.0" encoding="utf-8"?>
<sst xmlns="http://schemas.openxmlformats.org/spreadsheetml/2006/main" count="73" uniqueCount="39">
  <si>
    <t>Macros:</t>
  </si>
  <si>
    <t>Project:</t>
  </si>
  <si>
    <t>Job No.:</t>
  </si>
  <si>
    <t>Excel file:</t>
  </si>
  <si>
    <t>Design notes:</t>
  </si>
  <si>
    <t xml:space="preserve">General Project/User Details: </t>
  </si>
  <si>
    <t>Range:</t>
  </si>
  <si>
    <t>IN</t>
  </si>
  <si>
    <t>FullSolveAndScale</t>
  </si>
  <si>
    <t>Template Excel Workbook Details:</t>
  </si>
  <si>
    <t>Sheet:</t>
  </si>
  <si>
    <t>User Interface</t>
  </si>
  <si>
    <t>Header sheet:</t>
  </si>
  <si>
    <t>Designer:</t>
  </si>
  <si>
    <t>OUT</t>
  </si>
  <si>
    <t>Results</t>
  </si>
  <si>
    <t>Run Inputs/Outputs:</t>
  </si>
  <si>
    <t>Run ID</t>
  </si>
  <si>
    <t>Run Name</t>
  </si>
  <si>
    <t>Type:</t>
  </si>
  <si>
    <t>Include?</t>
  </si>
  <si>
    <t>&lt;SheetName&gt;</t>
  </si>
  <si>
    <t>&lt;RangeName/Adress&gt;</t>
  </si>
  <si>
    <t>SKIP</t>
  </si>
  <si>
    <t>&lt;Design notes to be noted&gt;</t>
  </si>
  <si>
    <t>&lt;Project Name&gt;</t>
  </si>
  <si>
    <t>&lt;Designer Name&gt;</t>
  </si>
  <si>
    <t>&lt;JobNumber&gt;</t>
  </si>
  <si>
    <t>&lt;Path to Calculation Workbook&gt;</t>
  </si>
  <si>
    <t>Out Units</t>
  </si>
  <si>
    <t>Output Label</t>
  </si>
  <si>
    <t>Out. Units</t>
  </si>
  <si>
    <t>Input Label</t>
  </si>
  <si>
    <t>Input Units</t>
  </si>
  <si>
    <t>Skipped Label</t>
  </si>
  <si>
    <t>Skipped  Units</t>
  </si>
  <si>
    <t>Section Heading 1</t>
  </si>
  <si>
    <t>Section Heading 2</t>
  </si>
  <si>
    <t>Section Heading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</si>
</sst>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0.0%"/>
  </numFmts>
  <fonts count="1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C00000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8"/>
      <name val="Arial"/>
      <family val="2"/>
    </font>
    <font>
      <b/>
      <sz val="12"/>
      <name val="Times New Roman"/>
      <family val="1"/>
    </font>
    <font>
      <b/>
      <sz val="14"/>
      <color theme="0"/>
      <name val="Calibri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6" fillId="0" borderId="0"/>
    <xf numFmtId="2" fontId="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</cellStyleXfs>
  <cellXfs count="82">
    <xf numFmtId="0" fontId="0" fillId="0" borderId="0" xfId="0"/>
    <xf numFmtId="0" fontId="0" fillId="3" borderId="3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0" xfId="0" applyFill="1"/>
    <xf numFmtId="0" fontId="3" fillId="2" borderId="0" xfId="0" applyFont="1" applyFill="1"/>
    <xf numFmtId="0" fontId="5" fillId="3" borderId="12" xfId="0" applyFont="1" applyFill="1" applyBorder="1" applyAlignment="1">
      <alignment horizontal="center"/>
    </xf>
    <xf numFmtId="0" fontId="9" fillId="7" borderId="0" xfId="0" applyFont="1" applyFill="1" applyAlignment="1" applyProtection="1">
      <alignment vertical="center"/>
      <protection locked="0"/>
    </xf>
    <xf numFmtId="0" fontId="0" fillId="7" borderId="0" xfId="0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right" vertical="top"/>
    </xf>
    <xf numFmtId="0" fontId="5" fillId="3" borderId="5" xfId="0" applyFont="1" applyFill="1" applyBorder="1" applyAlignment="1">
      <alignment horizontal="left"/>
    </xf>
    <xf numFmtId="0" fontId="0" fillId="3" borderId="5" xfId="0" applyFill="1" applyBorder="1"/>
    <xf numFmtId="0" fontId="9" fillId="3" borderId="0" xfId="0" applyFont="1" applyFill="1" applyAlignment="1" applyProtection="1">
      <alignment vertical="center"/>
      <protection locked="0"/>
    </xf>
    <xf numFmtId="0" fontId="5" fillId="3" borderId="0" xfId="0" applyFont="1" applyFill="1" applyAlignment="1">
      <alignment horizontal="left"/>
    </xf>
    <xf numFmtId="0" fontId="0" fillId="3" borderId="10" xfId="0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0" fillId="3" borderId="10" xfId="0" applyFill="1" applyBorder="1"/>
    <xf numFmtId="0" fontId="0" fillId="3" borderId="3" xfId="0" applyFill="1" applyBorder="1" applyAlignment="1">
      <alignment vertical="center"/>
    </xf>
    <xf numFmtId="0" fontId="0" fillId="6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5" xfId="0" applyBorder="1"/>
    <xf numFmtId="0" fontId="4" fillId="0" borderId="5" xfId="0" applyFont="1" applyBorder="1"/>
    <xf numFmtId="3" fontId="0" fillId="6" borderId="0" xfId="0" applyNumberFormat="1" applyFill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 wrapText="1"/>
    </xf>
    <xf numFmtId="0" fontId="0" fillId="3" borderId="5" xfId="0" applyFill="1" applyBorder="1" applyAlignment="1">
      <alignment horizontal="center"/>
    </xf>
    <xf numFmtId="167" fontId="0" fillId="3" borderId="2" xfId="8" applyNumberFormat="1" applyFont="1" applyFill="1" applyBorder="1" applyAlignment="1">
      <alignment horizontal="center"/>
    </xf>
    <xf numFmtId="0" fontId="5" fillId="3" borderId="3" xfId="0" applyFont="1" applyFill="1" applyBorder="1"/>
    <xf numFmtId="0" fontId="10" fillId="7" borderId="9" xfId="0" applyFont="1" applyFill="1" applyBorder="1" applyAlignment="1">
      <alignment horizontal="right"/>
    </xf>
    <xf numFmtId="0" fontId="10" fillId="7" borderId="2" xfId="0" applyFont="1" applyFill="1" applyBorder="1" applyAlignment="1">
      <alignment horizontal="right"/>
    </xf>
    <xf numFmtId="0" fontId="10" fillId="7" borderId="6" xfId="0" applyFont="1" applyFill="1" applyBorder="1" applyAlignment="1">
      <alignment horizontal="right"/>
    </xf>
    <xf numFmtId="0" fontId="7" fillId="3" borderId="8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right"/>
    </xf>
    <xf numFmtId="0" fontId="10" fillId="7" borderId="1" xfId="0" applyFont="1" applyFill="1" applyBorder="1" applyAlignment="1">
      <alignment horizontal="right"/>
    </xf>
    <xf numFmtId="0" fontId="10" fillId="7" borderId="4" xfId="0" applyFont="1" applyFill="1" applyBorder="1" applyAlignment="1">
      <alignment horizontal="right"/>
    </xf>
    <xf numFmtId="0" fontId="11" fillId="7" borderId="9" xfId="0" applyFon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7" fillId="8" borderId="0" xfId="0" applyFont="1" applyFill="1" applyBorder="1" applyAlignment="1">
      <alignment horizontal="center"/>
    </xf>
    <xf numFmtId="0" fontId="12" fillId="2" borderId="0" xfId="0" applyFont="1" applyFill="1"/>
    <xf numFmtId="0" fontId="12" fillId="3" borderId="0" xfId="0" applyFont="1" applyFill="1"/>
    <xf numFmtId="0" fontId="13" fillId="8" borderId="2" xfId="0" applyFont="1" applyFill="1" applyBorder="1" applyAlignment="1">
      <alignment horizontal="center"/>
    </xf>
    <xf numFmtId="0" fontId="13" fillId="8" borderId="0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 wrapText="1"/>
    </xf>
    <xf numFmtId="0" fontId="12" fillId="3" borderId="8" xfId="0" applyFont="1" applyFill="1" applyBorder="1" applyAlignment="1">
      <alignment horizontal="center" wrapText="1"/>
    </xf>
    <xf numFmtId="0" fontId="12" fillId="3" borderId="2" xfId="0" applyFont="1" applyFill="1" applyBorder="1" applyAlignment="1">
      <alignment horizontal="center" wrapText="1"/>
    </xf>
    <xf numFmtId="0" fontId="12" fillId="3" borderId="2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left"/>
    </xf>
    <xf numFmtId="0" fontId="14" fillId="3" borderId="12" xfId="0" applyFont="1" applyFill="1" applyBorder="1" applyAlignment="1">
      <alignment horizontal="left"/>
    </xf>
    <xf numFmtId="0" fontId="14" fillId="3" borderId="11" xfId="0" applyFont="1" applyFill="1" applyBorder="1" applyAlignment="1">
      <alignment horizontal="left"/>
    </xf>
    <xf numFmtId="0" fontId="14" fillId="3" borderId="12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2" fillId="3" borderId="0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12" fillId="6" borderId="0" xfId="0" applyFont="1" applyFill="1" applyAlignment="1" applyProtection="1">
      <alignment vertical="center"/>
      <protection locked="0"/>
    </xf>
    <xf numFmtId="0" fontId="12" fillId="6" borderId="0" xfId="0" applyFont="1" applyFill="1"/>
    <xf numFmtId="0" fontId="12" fillId="6" borderId="0" xfId="0" applyFont="1" applyFill="1" applyAlignment="1">
      <alignment horizontal="left"/>
    </xf>
    <xf numFmtId="0" fontId="12" fillId="6" borderId="0" xfId="0" applyFont="1" applyFill="1" applyAlignment="1">
      <alignment horizontal="left" vertical="top" wrapText="1"/>
    </xf>
    <xf numFmtId="0" fontId="3" fillId="6" borderId="0" xfId="0" applyFont="1" applyFill="1"/>
    <xf numFmtId="0" fontId="0" fillId="6" borderId="0" xfId="0" applyFill="1"/>
    <xf numFmtId="3" fontId="0" fillId="3" borderId="0" xfId="0" applyNumberFormat="1" applyFill="1" applyAlignment="1">
      <alignment horizontal="center"/>
    </xf>
  </cellXfs>
  <cellStyles count="9">
    <cellStyle name="Comma 2" xfId="4" xr:uid="{34BB63AC-71E3-4420-944B-1459E518B6A9}"/>
    <cellStyle name="Fixed" xfId="2" xr:uid="{AE7014A6-ED2A-4DF8-AF56-D97475A60087}"/>
    <cellStyle name="Normal" xfId="0" builtinId="0"/>
    <cellStyle name="Normal 10" xfId="1" xr:uid="{AA2A1D97-0240-4C20-8B52-9423C7E4F6D3}"/>
    <cellStyle name="Normal 2" xfId="3" xr:uid="{41B95EBB-758C-4BA0-AB2F-A70730D612D8}"/>
    <cellStyle name="Normal 3" xfId="6" xr:uid="{34152058-4E00-4457-98F0-99A7F5498B92}"/>
    <cellStyle name="Normal 9" xfId="5" xr:uid="{5C1AB3E7-16BA-4161-B156-64E3BD12F6D8}"/>
    <cellStyle name="Normal 9 2" xfId="7" xr:uid="{202390FD-32E0-4FBB-A31A-6EE8B649A402}"/>
    <cellStyle name="Percent" xfId="8" builtinId="5"/>
  </cellStyles>
  <dxfs count="13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8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/>
        </patternFill>
      </fill>
    </dxf>
    <dxf>
      <font>
        <color theme="0"/>
      </font>
      <fill>
        <patternFill>
          <bgColor theme="3"/>
        </patternFill>
      </fill>
    </dxf>
  </dxfs>
  <tableStyles count="0" defaultTableStyle="TableStyleMedium2" defaultPivotStyle="PivotStyleLight16"/>
  <colors>
    <mruColors>
      <color rgb="FFFF5050"/>
      <color rgb="FF00CC6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rbanajurong-my.sharepoint.com/personal/mitchell_tesch_robertbird_com_au/Documents/source/repos/mitchell-tesch/batch_excel/batch_run_221208-104953/1.0_RBG-SS-Concrete_Cross_Section_AS5100.5(A1)-2017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rbanajurong-my.sharepoint.com/personal/mitchell_tesch_robertbird_com_au/Documents/source/repos/mitchell-tesch/ram-rundown/RBG-SS-Rundown(RAM_bulk)_Plus_Design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rbanajurong-my.sharepoint.com/Users/ryan.francis/Downloads/210706%20T1-T4%20Construction%20Programme%20-%20SW%20Adjusted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Main"/>
      <sheetName val="InteractionPlot_MajorAxis"/>
      <sheetName val="RSB_MajorAxis"/>
      <sheetName val="InteractionPlot_MinorAxis"/>
      <sheetName val="RSB_MinorAxis"/>
    </sheetNames>
    <sheetDataSet>
      <sheetData sheetId="0" refreshError="1"/>
      <sheetData sheetId="1">
        <row r="7">
          <cell r="U7">
            <v>500</v>
          </cell>
        </row>
        <row r="8">
          <cell r="U8">
            <v>1800</v>
          </cell>
        </row>
        <row r="9">
          <cell r="U9">
            <v>30</v>
          </cell>
        </row>
        <row r="10">
          <cell r="U10">
            <v>30</v>
          </cell>
        </row>
        <row r="11">
          <cell r="U11">
            <v>30</v>
          </cell>
        </row>
        <row r="12">
          <cell r="U12">
            <v>30</v>
          </cell>
        </row>
        <row r="14">
          <cell r="U14">
            <v>10</v>
          </cell>
        </row>
        <row r="15">
          <cell r="U15">
            <v>1</v>
          </cell>
        </row>
        <row r="17">
          <cell r="U17" t="str">
            <v>Braced</v>
          </cell>
        </row>
        <row r="18">
          <cell r="U18" t="str">
            <v>Yes</v>
          </cell>
        </row>
        <row r="19">
          <cell r="U19">
            <v>5</v>
          </cell>
        </row>
        <row r="20">
          <cell r="U20">
            <v>1</v>
          </cell>
        </row>
        <row r="22">
          <cell r="U22" t="str">
            <v>Braced</v>
          </cell>
        </row>
        <row r="23">
          <cell r="U23" t="str">
            <v>Yes</v>
          </cell>
        </row>
        <row r="25">
          <cell r="U25" t="str">
            <v>N40</v>
          </cell>
        </row>
        <row r="26">
          <cell r="U26">
            <v>40</v>
          </cell>
        </row>
        <row r="27">
          <cell r="U27">
            <v>32612.920840079922</v>
          </cell>
        </row>
        <row r="28">
          <cell r="U28">
            <v>2.8</v>
          </cell>
        </row>
        <row r="29">
          <cell r="U29">
            <v>10</v>
          </cell>
        </row>
        <row r="31">
          <cell r="U31">
            <v>500</v>
          </cell>
        </row>
        <row r="32">
          <cell r="U32">
            <v>500</v>
          </cell>
        </row>
        <row r="33">
          <cell r="U33">
            <v>200000</v>
          </cell>
        </row>
        <row r="35">
          <cell r="U35">
            <v>1830</v>
          </cell>
        </row>
        <row r="36">
          <cell r="U36">
            <v>1500.6</v>
          </cell>
        </row>
        <row r="37">
          <cell r="U37">
            <v>15.2</v>
          </cell>
        </row>
        <row r="38">
          <cell r="U38">
            <v>143</v>
          </cell>
        </row>
        <row r="39">
          <cell r="U39">
            <v>0.75</v>
          </cell>
        </row>
        <row r="40">
          <cell r="U40">
            <v>196.26750000000001</v>
          </cell>
        </row>
        <row r="41">
          <cell r="U41">
            <v>0</v>
          </cell>
        </row>
        <row r="42">
          <cell r="U42">
            <v>1372.5</v>
          </cell>
        </row>
        <row r="43">
          <cell r="U43">
            <v>200000</v>
          </cell>
        </row>
        <row r="44">
          <cell r="U44">
            <v>0.5</v>
          </cell>
        </row>
        <row r="46">
          <cell r="S46" t="str">
            <v>Temperate (inland)</v>
          </cell>
        </row>
        <row r="47">
          <cell r="U47">
            <v>1E-3</v>
          </cell>
        </row>
        <row r="48">
          <cell r="U48" t="str">
            <v>B1</v>
          </cell>
        </row>
        <row r="49">
          <cell r="U49" t="str">
            <v>Long Term</v>
          </cell>
        </row>
        <row r="50">
          <cell r="U50">
            <v>18</v>
          </cell>
        </row>
        <row r="51">
          <cell r="U51">
            <v>10950</v>
          </cell>
        </row>
        <row r="52">
          <cell r="U52">
            <v>4000</v>
          </cell>
        </row>
        <row r="53">
          <cell r="S53" t="str">
            <v>Post-tensioned</v>
          </cell>
        </row>
        <row r="57">
          <cell r="O57" t="str">
            <v>6N28</v>
          </cell>
          <cell r="V57">
            <v>429</v>
          </cell>
          <cell r="AF57">
            <v>0.1</v>
          </cell>
        </row>
        <row r="58">
          <cell r="O58" t="str">
            <v>2N32</v>
          </cell>
          <cell r="V58">
            <v>400</v>
          </cell>
          <cell r="AF58">
            <v>0.1</v>
          </cell>
        </row>
        <row r="59">
          <cell r="O59" t="str">
            <v>2N32</v>
          </cell>
          <cell r="V59">
            <v>400</v>
          </cell>
          <cell r="AF59">
            <v>0.1</v>
          </cell>
        </row>
        <row r="60">
          <cell r="O60" t="str">
            <v>6N28</v>
          </cell>
          <cell r="V60">
            <v>65</v>
          </cell>
          <cell r="AF60">
            <v>0.1</v>
          </cell>
        </row>
        <row r="61">
          <cell r="O61" t="str">
            <v>2N32</v>
          </cell>
          <cell r="V61">
            <v>100</v>
          </cell>
          <cell r="AF61">
            <v>0.1</v>
          </cell>
        </row>
        <row r="62">
          <cell r="O62" t="str">
            <v>2N32</v>
          </cell>
          <cell r="V62">
            <v>150</v>
          </cell>
          <cell r="AF62">
            <v>0.1</v>
          </cell>
        </row>
        <row r="69">
          <cell r="O69" t="str">
            <v>2N28</v>
          </cell>
          <cell r="V69">
            <v>50</v>
          </cell>
          <cell r="AF69">
            <v>0.1</v>
          </cell>
        </row>
        <row r="70">
          <cell r="O70" t="str">
            <v>2N28</v>
          </cell>
          <cell r="V70">
            <v>1750</v>
          </cell>
          <cell r="AF70">
            <v>0.1</v>
          </cell>
        </row>
        <row r="81">
          <cell r="O81" t="str">
            <v>1N20</v>
          </cell>
          <cell r="V81">
            <v>310</v>
          </cell>
          <cell r="AD81">
            <v>150</v>
          </cell>
        </row>
        <row r="82">
          <cell r="O82" t="str">
            <v>4N20</v>
          </cell>
          <cell r="V82">
            <v>1240</v>
          </cell>
          <cell r="AD82">
            <v>200</v>
          </cell>
          <cell r="AN82">
            <v>90</v>
          </cell>
        </row>
        <row r="83">
          <cell r="O83" t="str">
            <v>3N16</v>
          </cell>
          <cell r="V83">
            <v>600</v>
          </cell>
          <cell r="AD83">
            <v>200</v>
          </cell>
          <cell r="AN83">
            <v>90</v>
          </cell>
        </row>
        <row r="116">
          <cell r="R116">
            <v>0</v>
          </cell>
        </row>
        <row r="117">
          <cell r="R117">
            <v>0</v>
          </cell>
        </row>
        <row r="119">
          <cell r="R119">
            <v>0</v>
          </cell>
        </row>
        <row r="125">
          <cell r="R125">
            <v>1000</v>
          </cell>
        </row>
        <row r="126">
          <cell r="R126">
            <v>50</v>
          </cell>
        </row>
        <row r="127">
          <cell r="R127">
            <v>0.9</v>
          </cell>
        </row>
        <row r="128">
          <cell r="R128">
            <v>200</v>
          </cell>
        </row>
        <row r="129">
          <cell r="R129">
            <v>750</v>
          </cell>
        </row>
        <row r="130">
          <cell r="R130">
            <v>850</v>
          </cell>
        </row>
        <row r="131">
          <cell r="R131" t="str">
            <v>No</v>
          </cell>
        </row>
        <row r="132">
          <cell r="R132">
            <v>750</v>
          </cell>
          <cell r="AA132">
            <v>-750</v>
          </cell>
        </row>
        <row r="133">
          <cell r="R133">
            <v>25</v>
          </cell>
        </row>
        <row r="134">
          <cell r="R134">
            <v>0</v>
          </cell>
        </row>
        <row r="135">
          <cell r="R135">
            <v>0</v>
          </cell>
        </row>
        <row r="136">
          <cell r="R136" t="str">
            <v>No</v>
          </cell>
        </row>
        <row r="137">
          <cell r="R137">
            <v>0</v>
          </cell>
          <cell r="AA137">
            <v>0</v>
          </cell>
        </row>
        <row r="138">
          <cell r="R138">
            <v>90</v>
          </cell>
        </row>
        <row r="141">
          <cell r="R141">
            <v>0</v>
          </cell>
        </row>
        <row r="142">
          <cell r="R142">
            <v>500</v>
          </cell>
        </row>
        <row r="143">
          <cell r="R143">
            <v>1000</v>
          </cell>
        </row>
        <row r="146">
          <cell r="W146">
            <v>900000</v>
          </cell>
        </row>
        <row r="147">
          <cell r="W147">
            <v>18750000000</v>
          </cell>
        </row>
        <row r="148">
          <cell r="W148">
            <v>243000000000</v>
          </cell>
        </row>
        <row r="149">
          <cell r="W149">
            <v>144.33756729740642</v>
          </cell>
        </row>
        <row r="150">
          <cell r="W150">
            <v>519.6152422706632</v>
          </cell>
        </row>
        <row r="151">
          <cell r="W151">
            <v>250</v>
          </cell>
        </row>
        <row r="152">
          <cell r="W152">
            <v>900</v>
          </cell>
        </row>
        <row r="155">
          <cell r="W155">
            <v>450</v>
          </cell>
        </row>
        <row r="156">
          <cell r="W156" t="str">
            <v>Reinforced</v>
          </cell>
        </row>
        <row r="159">
          <cell r="W159">
            <v>3.0000000000000001E-3</v>
          </cell>
        </row>
        <row r="160">
          <cell r="W160">
            <v>2.5000000000000001E-3</v>
          </cell>
        </row>
        <row r="161">
          <cell r="W161">
            <v>7.5029999999999993E-3</v>
          </cell>
        </row>
        <row r="162">
          <cell r="W162">
            <v>-6.8624999999999997E-3</v>
          </cell>
        </row>
        <row r="163">
          <cell r="W163">
            <v>0.85</v>
          </cell>
        </row>
        <row r="164">
          <cell r="W164">
            <v>0.85</v>
          </cell>
        </row>
        <row r="165">
          <cell r="W165">
            <v>0.77</v>
          </cell>
        </row>
        <row r="166">
          <cell r="W166">
            <v>3.7947331922020551</v>
          </cell>
        </row>
        <row r="168">
          <cell r="W168" t="str">
            <v>Bottom</v>
          </cell>
        </row>
        <row r="169">
          <cell r="W169">
            <v>75000000</v>
          </cell>
        </row>
        <row r="170">
          <cell r="W170">
            <v>341.52598729818499</v>
          </cell>
        </row>
        <row r="171">
          <cell r="W171">
            <v>1592.1957449798836</v>
          </cell>
        </row>
        <row r="172">
          <cell r="W172">
            <v>415.58959537572252</v>
          </cell>
        </row>
        <row r="173">
          <cell r="W173">
            <v>429</v>
          </cell>
        </row>
        <row r="175">
          <cell r="W175">
            <v>750</v>
          </cell>
        </row>
        <row r="180">
          <cell r="W180">
            <v>653.2226713724931</v>
          </cell>
        </row>
        <row r="182">
          <cell r="W182">
            <v>18492.863999999998</v>
          </cell>
        </row>
        <row r="186">
          <cell r="W186">
            <v>-1</v>
          </cell>
        </row>
        <row r="187">
          <cell r="W187">
            <v>10</v>
          </cell>
        </row>
        <row r="188">
          <cell r="W188">
            <v>69.282032302755098</v>
          </cell>
        </row>
        <row r="189">
          <cell r="W189">
            <v>2.2986246819721194</v>
          </cell>
        </row>
        <row r="190">
          <cell r="W190" t="str">
            <v>Slender</v>
          </cell>
        </row>
        <row r="192">
          <cell r="W192">
            <v>0.9</v>
          </cell>
        </row>
        <row r="193">
          <cell r="W193">
            <v>4433.6582542541164</v>
          </cell>
        </row>
        <row r="194">
          <cell r="W194">
            <v>1</v>
          </cell>
        </row>
        <row r="195">
          <cell r="W195">
            <v>1.291234574308918</v>
          </cell>
        </row>
        <row r="196">
          <cell r="W196">
            <v>1.291234574308918</v>
          </cell>
        </row>
        <row r="197">
          <cell r="W197">
            <v>968.42593073168848</v>
          </cell>
        </row>
        <row r="198">
          <cell r="W198">
            <v>968.42593073168848</v>
          </cell>
        </row>
        <row r="201">
          <cell r="W201">
            <v>1093.1692079134089</v>
          </cell>
        </row>
        <row r="202">
          <cell r="W202">
            <v>341.18642627522308</v>
          </cell>
        </row>
        <row r="203">
          <cell r="W203">
            <v>213.88993613535735</v>
          </cell>
        </row>
        <row r="205">
          <cell r="W205" t="str">
            <v>Left</v>
          </cell>
        </row>
        <row r="206">
          <cell r="W206">
            <v>270000000</v>
          </cell>
        </row>
        <row r="207">
          <cell r="W207">
            <v>1229.4935542734659</v>
          </cell>
        </row>
        <row r="208">
          <cell r="W208">
            <v>1405.1354905982464</v>
          </cell>
        </row>
        <row r="209">
          <cell r="W209">
            <v>1750</v>
          </cell>
        </row>
        <row r="210">
          <cell r="W210">
            <v>1750</v>
          </cell>
        </row>
        <row r="212">
          <cell r="W212">
            <v>90</v>
          </cell>
        </row>
        <row r="217">
          <cell r="W217">
            <v>730.82992155147895</v>
          </cell>
        </row>
        <row r="219">
          <cell r="W219">
            <v>18383.808000000001</v>
          </cell>
        </row>
        <row r="223">
          <cell r="W223">
            <v>-1</v>
          </cell>
        </row>
        <row r="224">
          <cell r="W224">
            <v>5</v>
          </cell>
        </row>
        <row r="225">
          <cell r="W225">
            <v>9.6225044864937619</v>
          </cell>
        </row>
        <row r="226">
          <cell r="W226">
            <v>2.291836942591809</v>
          </cell>
        </row>
        <row r="227">
          <cell r="W227" t="str">
            <v>Stocky</v>
          </cell>
        </row>
        <row r="229">
          <cell r="W229">
            <v>0.9</v>
          </cell>
        </row>
        <row r="230">
          <cell r="W230">
            <v>267487.53071573266</v>
          </cell>
        </row>
        <row r="231">
          <cell r="W231">
            <v>1</v>
          </cell>
        </row>
        <row r="232">
          <cell r="W232">
            <v>1.0037525207926772</v>
          </cell>
        </row>
        <row r="233">
          <cell r="W233">
            <v>1.0037525207926772</v>
          </cell>
        </row>
        <row r="234">
          <cell r="W234">
            <v>90</v>
          </cell>
        </row>
        <row r="235">
          <cell r="W235">
            <v>90</v>
          </cell>
        </row>
        <row r="238">
          <cell r="W238">
            <v>4041.92238</v>
          </cell>
        </row>
        <row r="239">
          <cell r="W239">
            <v>938.6510500251743</v>
          </cell>
        </row>
        <row r="240">
          <cell r="W240">
            <v>16282.100974081623</v>
          </cell>
        </row>
        <row r="242">
          <cell r="W242" t="str">
            <v>Yes</v>
          </cell>
        </row>
        <row r="243">
          <cell r="W243">
            <v>1</v>
          </cell>
        </row>
        <row r="244">
          <cell r="W244">
            <v>2.9342892479619649</v>
          </cell>
        </row>
        <row r="245">
          <cell r="W245" t="str">
            <v>No</v>
          </cell>
        </row>
        <row r="269">
          <cell r="W269">
            <v>0.7</v>
          </cell>
        </row>
        <row r="270">
          <cell r="W270">
            <v>0.7</v>
          </cell>
        </row>
        <row r="271">
          <cell r="W271">
            <v>4280</v>
          </cell>
        </row>
        <row r="272">
          <cell r="W272">
            <v>722400</v>
          </cell>
        </row>
        <row r="273">
          <cell r="W273">
            <v>614040</v>
          </cell>
        </row>
        <row r="275">
          <cell r="W275">
            <v>900000</v>
          </cell>
        </row>
        <row r="276">
          <cell r="W276">
            <v>4600</v>
          </cell>
        </row>
        <row r="277">
          <cell r="W277">
            <v>5.5555555555555559E-2</v>
          </cell>
        </row>
        <row r="278">
          <cell r="W278">
            <v>372.37084093567699</v>
          </cell>
        </row>
        <row r="279">
          <cell r="W279" t="str">
            <v>Yes</v>
          </cell>
        </row>
        <row r="280">
          <cell r="W280">
            <v>200</v>
          </cell>
        </row>
        <row r="281">
          <cell r="W281">
            <v>-50</v>
          </cell>
        </row>
        <row r="282">
          <cell r="W282">
            <v>750</v>
          </cell>
        </row>
        <row r="283">
          <cell r="W283">
            <v>0</v>
          </cell>
        </row>
        <row r="284">
          <cell r="W284">
            <v>1720</v>
          </cell>
        </row>
        <row r="285">
          <cell r="W285">
            <v>2.0666666666666669</v>
          </cell>
        </row>
        <row r="286">
          <cell r="W286">
            <v>0.45167621127504998</v>
          </cell>
        </row>
        <row r="287">
          <cell r="W287">
            <v>1192.6607374330767</v>
          </cell>
        </row>
        <row r="288">
          <cell r="W288">
            <v>357.95656354998658</v>
          </cell>
        </row>
        <row r="289">
          <cell r="W289">
            <v>150</v>
          </cell>
        </row>
        <row r="290">
          <cell r="W290">
            <v>300</v>
          </cell>
        </row>
        <row r="292">
          <cell r="W292">
            <v>1800</v>
          </cell>
        </row>
        <row r="293">
          <cell r="W293">
            <v>374.03063583815026</v>
          </cell>
        </row>
        <row r="294">
          <cell r="W294">
            <v>6920</v>
          </cell>
        </row>
        <row r="295">
          <cell r="W295">
            <v>0</v>
          </cell>
        </row>
        <row r="296">
          <cell r="W296">
            <v>450000</v>
          </cell>
        </row>
        <row r="300">
          <cell r="W300">
            <v>1.0970401538115491E-3</v>
          </cell>
        </row>
        <row r="301">
          <cell r="W301">
            <v>9.6402052368673825</v>
          </cell>
        </row>
        <row r="302">
          <cell r="W302">
            <v>1.8214719322569868</v>
          </cell>
        </row>
        <row r="303">
          <cell r="W303">
            <v>1.2307692307692308</v>
          </cell>
        </row>
        <row r="304">
          <cell r="W304">
            <v>0.15119670886931311</v>
          </cell>
        </row>
        <row r="305">
          <cell r="W305">
            <v>36.679281076680844</v>
          </cell>
        </row>
        <row r="306">
          <cell r="W306">
            <v>643.80154444518087</v>
          </cell>
        </row>
        <row r="307">
          <cell r="W307">
            <v>450.66108111162657</v>
          </cell>
        </row>
        <row r="308">
          <cell r="W308" t="str">
            <v>Yes</v>
          </cell>
        </row>
        <row r="310">
          <cell r="W310">
            <v>1694.3896289095126</v>
          </cell>
        </row>
        <row r="311">
          <cell r="W311">
            <v>2145.0507100211389</v>
          </cell>
        </row>
        <row r="312">
          <cell r="W312">
            <v>4966.9337281973849</v>
          </cell>
        </row>
        <row r="313">
          <cell r="W313">
            <v>4924.2709720388784</v>
          </cell>
        </row>
        <row r="314">
          <cell r="W314">
            <v>0.9</v>
          </cell>
        </row>
        <row r="315">
          <cell r="W315">
            <v>3.7662867033838805</v>
          </cell>
        </row>
        <row r="316">
          <cell r="W316">
            <v>344</v>
          </cell>
        </row>
        <row r="317">
          <cell r="W317">
            <v>500</v>
          </cell>
        </row>
        <row r="318">
          <cell r="W318">
            <v>200</v>
          </cell>
        </row>
        <row r="319">
          <cell r="W319">
            <v>250</v>
          </cell>
        </row>
        <row r="320">
          <cell r="W320">
            <v>0.7990671786908482</v>
          </cell>
        </row>
        <row r="321">
          <cell r="W321">
            <v>361.72285025337044</v>
          </cell>
        </row>
        <row r="322">
          <cell r="W322">
            <v>2701.5413314142097</v>
          </cell>
        </row>
        <row r="323">
          <cell r="W323">
            <v>0</v>
          </cell>
        </row>
        <row r="324">
          <cell r="W324">
            <v>2764.772438270335</v>
          </cell>
        </row>
        <row r="326">
          <cell r="W326">
            <v>0</v>
          </cell>
        </row>
        <row r="327">
          <cell r="W327">
            <v>372</v>
          </cell>
        </row>
        <row r="328">
          <cell r="W328">
            <v>148.62649523649779</v>
          </cell>
        </row>
        <row r="331">
          <cell r="W331">
            <v>500</v>
          </cell>
        </row>
        <row r="332">
          <cell r="W332">
            <v>1719.8821692200661</v>
          </cell>
        </row>
        <row r="333">
          <cell r="W333">
            <v>1240</v>
          </cell>
        </row>
        <row r="334">
          <cell r="W334">
            <v>0</v>
          </cell>
        </row>
        <row r="335">
          <cell r="W335">
            <v>450000</v>
          </cell>
        </row>
        <row r="339">
          <cell r="W339">
            <v>1.2143562413712671E-3</v>
          </cell>
        </row>
        <row r="340">
          <cell r="W340">
            <v>6.4402052368673814</v>
          </cell>
        </row>
        <row r="341">
          <cell r="W341">
            <v>0.50596442562694077</v>
          </cell>
        </row>
        <row r="342">
          <cell r="W342">
            <v>1.2307692307692308</v>
          </cell>
        </row>
        <row r="343">
          <cell r="W343">
            <v>0.1417668362927183</v>
          </cell>
        </row>
        <row r="344">
          <cell r="W344">
            <v>37.500493689598869</v>
          </cell>
        </row>
        <row r="345">
          <cell r="W345">
            <v>771.03366664394605</v>
          </cell>
        </row>
        <row r="346">
          <cell r="W346">
            <v>539.72356665076222</v>
          </cell>
        </row>
        <row r="347">
          <cell r="W347" t="str">
            <v>Yes</v>
          </cell>
        </row>
        <row r="349">
          <cell r="W349">
            <v>5052.1731288472083</v>
          </cell>
        </row>
        <row r="350">
          <cell r="W350">
            <v>5591.8966954979705</v>
          </cell>
        </row>
        <row r="351">
          <cell r="W351">
            <v>6395.9521635728597</v>
          </cell>
        </row>
        <row r="352">
          <cell r="W352">
            <v>6341.9041435679919</v>
          </cell>
        </row>
        <row r="353">
          <cell r="W353">
            <v>0.9</v>
          </cell>
        </row>
        <row r="354">
          <cell r="W354">
            <v>0</v>
          </cell>
        </row>
        <row r="355">
          <cell r="W355">
            <v>105</v>
          </cell>
        </row>
        <row r="356">
          <cell r="W356">
            <v>600</v>
          </cell>
        </row>
        <row r="357">
          <cell r="W357">
            <v>200</v>
          </cell>
        </row>
        <row r="358">
          <cell r="W358">
            <v>300</v>
          </cell>
        </row>
        <row r="359">
          <cell r="W359">
            <v>0.79919697032965975</v>
          </cell>
        </row>
        <row r="360">
          <cell r="W360">
            <v>0</v>
          </cell>
        </row>
        <row r="361">
          <cell r="W361">
            <v>27.329166271206411</v>
          </cell>
        </row>
        <row r="362">
          <cell r="W362">
            <v>0</v>
          </cell>
        </row>
        <row r="363">
          <cell r="W363">
            <v>495.50212160438906</v>
          </cell>
        </row>
        <row r="365">
          <cell r="W365">
            <v>0</v>
          </cell>
        </row>
        <row r="366">
          <cell r="W366">
            <v>124</v>
          </cell>
        </row>
        <row r="367">
          <cell r="W367">
            <v>49.550212160438903</v>
          </cell>
        </row>
        <row r="371">
          <cell r="W371">
            <v>6.9999999999999994E-5</v>
          </cell>
        </row>
        <row r="372">
          <cell r="W372">
            <v>6.7999999999999994E-4</v>
          </cell>
        </row>
        <row r="373">
          <cell r="W373">
            <v>0.9264790694742373</v>
          </cell>
        </row>
        <row r="374">
          <cell r="W374">
            <v>0.89118198172009477</v>
          </cell>
        </row>
        <row r="375">
          <cell r="W375">
            <v>0.6</v>
          </cell>
        </row>
        <row r="376">
          <cell r="W376">
            <v>3.6360224854179867E-4</v>
          </cell>
        </row>
        <row r="379">
          <cell r="W379">
            <v>1.0306025691409677</v>
          </cell>
        </row>
        <row r="380">
          <cell r="W380">
            <v>0.99133857438795392</v>
          </cell>
        </row>
        <row r="381">
          <cell r="W381">
            <v>1.1971945713390955</v>
          </cell>
        </row>
        <row r="382">
          <cell r="W382">
            <v>1.1320238291654092</v>
          </cell>
        </row>
        <row r="383">
          <cell r="W383">
            <v>1</v>
          </cell>
        </row>
        <row r="384">
          <cell r="W384">
            <v>1.9938662681553778</v>
          </cell>
        </row>
        <row r="385">
          <cell r="W385">
            <v>32612.920840079922</v>
          </cell>
        </row>
        <row r="387">
          <cell r="W387">
            <v>6.132538725394026</v>
          </cell>
        </row>
        <row r="388">
          <cell r="W388">
            <v>10893.245696032323</v>
          </cell>
        </row>
        <row r="392">
          <cell r="W392" t="str">
            <v>Case (c)(i)</v>
          </cell>
        </row>
        <row r="393">
          <cell r="W393">
            <v>0.8</v>
          </cell>
        </row>
        <row r="394">
          <cell r="W394">
            <v>3.4</v>
          </cell>
        </row>
        <row r="395">
          <cell r="W395">
            <v>0.3</v>
          </cell>
        </row>
        <row r="396">
          <cell r="W396">
            <v>0.5</v>
          </cell>
        </row>
        <row r="397">
          <cell r="W397">
            <v>0.4</v>
          </cell>
        </row>
        <row r="398">
          <cell r="W398">
            <v>3.5088212858554391</v>
          </cell>
        </row>
        <row r="402">
          <cell r="W402">
            <v>1</v>
          </cell>
        </row>
        <row r="403">
          <cell r="W403">
            <v>1</v>
          </cell>
        </row>
        <row r="404">
          <cell r="W404">
            <v>500</v>
          </cell>
        </row>
        <row r="408">
          <cell r="W408">
            <v>157.36104725279026</v>
          </cell>
        </row>
        <row r="409">
          <cell r="W409">
            <v>-3.0929800651109379E-3</v>
          </cell>
        </row>
        <row r="410">
          <cell r="W410">
            <v>0</v>
          </cell>
        </row>
        <row r="413">
          <cell r="W413" t="str">
            <v>-</v>
          </cell>
        </row>
        <row r="438">
          <cell r="W438">
            <v>0.5</v>
          </cell>
        </row>
        <row r="439">
          <cell r="W439">
            <v>114.2129842490699</v>
          </cell>
        </row>
        <row r="440">
          <cell r="W440">
            <v>692</v>
          </cell>
        </row>
        <row r="441">
          <cell r="W441">
            <v>0</v>
          </cell>
        </row>
        <row r="442">
          <cell r="W442">
            <v>204891.37164832582</v>
          </cell>
        </row>
        <row r="443">
          <cell r="W443">
            <v>32</v>
          </cell>
        </row>
        <row r="444">
          <cell r="W444">
            <v>0</v>
          </cell>
        </row>
        <row r="445">
          <cell r="W445">
            <v>0</v>
          </cell>
        </row>
        <row r="446">
          <cell r="W446">
            <v>3.3773994211320144E-3</v>
          </cell>
        </row>
        <row r="447">
          <cell r="W447">
            <v>29.72972972972973</v>
          </cell>
        </row>
        <row r="448">
          <cell r="W448" t="str">
            <v>No</v>
          </cell>
        </row>
        <row r="449">
          <cell r="W449">
            <v>445.43063857137264</v>
          </cell>
        </row>
        <row r="450">
          <cell r="W450">
            <v>490.41351487820504</v>
          </cell>
        </row>
        <row r="451">
          <cell r="W451">
            <v>1.4712405446346151E-3</v>
          </cell>
        </row>
        <row r="452">
          <cell r="W452">
            <v>0.65533561528869066</v>
          </cell>
        </row>
        <row r="456">
          <cell r="W456">
            <v>1</v>
          </cell>
        </row>
        <row r="457">
          <cell r="W457">
            <v>1</v>
          </cell>
        </row>
        <row r="458">
          <cell r="W458">
            <v>1000</v>
          </cell>
        </row>
        <row r="462">
          <cell r="W462">
            <v>453.71888124403807</v>
          </cell>
        </row>
        <row r="463">
          <cell r="W463">
            <v>-2.9579179046446747E-3</v>
          </cell>
        </row>
        <row r="464">
          <cell r="W464">
            <v>0</v>
          </cell>
        </row>
        <row r="467">
          <cell r="W467" t="str">
            <v>-</v>
          </cell>
        </row>
        <row r="492">
          <cell r="W492">
            <v>0.5</v>
          </cell>
        </row>
        <row r="493">
          <cell r="W493">
            <v>125</v>
          </cell>
        </row>
        <row r="494">
          <cell r="W494">
            <v>124</v>
          </cell>
        </row>
        <row r="495">
          <cell r="W495">
            <v>0</v>
          </cell>
        </row>
        <row r="496">
          <cell r="W496">
            <v>62376</v>
          </cell>
        </row>
        <row r="497">
          <cell r="W497">
            <v>28</v>
          </cell>
        </row>
        <row r="498">
          <cell r="W498">
            <v>0</v>
          </cell>
        </row>
        <row r="499">
          <cell r="W499">
            <v>0</v>
          </cell>
        </row>
        <row r="500">
          <cell r="W500">
            <v>1.9879440810568168E-3</v>
          </cell>
        </row>
        <row r="501">
          <cell r="W501">
            <v>28</v>
          </cell>
        </row>
        <row r="502">
          <cell r="W502" t="str">
            <v>No</v>
          </cell>
        </row>
        <row r="503">
          <cell r="W503">
            <v>1750.1654543827506</v>
          </cell>
        </row>
        <row r="504">
          <cell r="W504">
            <v>569.61255375314011</v>
          </cell>
        </row>
        <row r="505">
          <cell r="W505">
            <v>1.7088376612594202E-3</v>
          </cell>
        </row>
        <row r="506">
          <cell r="W506">
            <v>2.99074864188445</v>
          </cell>
        </row>
      </sheetData>
      <sheetData sheetId="2" refreshError="1"/>
      <sheetData sheetId="3">
        <row r="4">
          <cell r="B4">
            <v>415.58959537572252</v>
          </cell>
        </row>
        <row r="5">
          <cell r="B5">
            <v>429</v>
          </cell>
        </row>
        <row r="8">
          <cell r="D8">
            <v>0.17120499995593325</v>
          </cell>
        </row>
        <row r="10">
          <cell r="AD10">
            <v>6480</v>
          </cell>
        </row>
        <row r="12">
          <cell r="D12">
            <v>0.8</v>
          </cell>
        </row>
        <row r="37">
          <cell r="AE37">
            <v>341.18642627522308</v>
          </cell>
        </row>
        <row r="43">
          <cell r="D43">
            <v>0</v>
          </cell>
        </row>
        <row r="45">
          <cell r="D45">
            <v>0</v>
          </cell>
        </row>
        <row r="64">
          <cell r="AJ64">
            <v>213.88993613535735</v>
          </cell>
        </row>
        <row r="210">
          <cell r="D210">
            <v>3026.08</v>
          </cell>
        </row>
        <row r="211">
          <cell r="D211">
            <v>816.52833921561626</v>
          </cell>
        </row>
        <row r="212">
          <cell r="C212">
            <v>-553.6</v>
          </cell>
          <cell r="O212">
            <v>6432.1000615384637</v>
          </cell>
          <cell r="Z212">
            <v>14236.088640000002</v>
          </cell>
          <cell r="AA212">
            <v>18492.863999999998</v>
          </cell>
        </row>
        <row r="213">
          <cell r="O213">
            <v>1093.1692079134089</v>
          </cell>
          <cell r="Z213">
            <v>830.8339497407984</v>
          </cell>
        </row>
        <row r="214">
          <cell r="D214">
            <v>317.14907760355493</v>
          </cell>
        </row>
        <row r="215">
          <cell r="D215">
            <v>1012</v>
          </cell>
        </row>
        <row r="216">
          <cell r="D216">
            <v>372</v>
          </cell>
        </row>
        <row r="217">
          <cell r="D217">
            <v>0</v>
          </cell>
        </row>
        <row r="224">
          <cell r="F224">
            <v>-43184425.284000002</v>
          </cell>
          <cell r="N224">
            <v>157.36104725279026</v>
          </cell>
        </row>
        <row r="339">
          <cell r="N339">
            <v>-3.0929800651109379E-3</v>
          </cell>
        </row>
        <row r="340">
          <cell r="N340">
            <v>0</v>
          </cell>
        </row>
        <row r="430">
          <cell r="C430">
            <v>0</v>
          </cell>
          <cell r="F430">
            <v>500</v>
          </cell>
        </row>
        <row r="433">
          <cell r="C433">
            <v>0</v>
          </cell>
          <cell r="F433">
            <v>0</v>
          </cell>
        </row>
        <row r="459">
          <cell r="F459">
            <v>0</v>
          </cell>
        </row>
        <row r="460">
          <cell r="F460">
            <v>0</v>
          </cell>
        </row>
      </sheetData>
      <sheetData sheetId="4" refreshError="1"/>
      <sheetData sheetId="5">
        <row r="4">
          <cell r="B4">
            <v>1750</v>
          </cell>
        </row>
        <row r="5">
          <cell r="B5">
            <v>1750</v>
          </cell>
        </row>
        <row r="8">
          <cell r="D8">
            <v>4.3906030534723826E-2</v>
          </cell>
        </row>
        <row r="10">
          <cell r="AD10">
            <v>6480</v>
          </cell>
        </row>
        <row r="12">
          <cell r="D12">
            <v>0.8</v>
          </cell>
        </row>
        <row r="37">
          <cell r="AE37">
            <v>938.6510500251743</v>
          </cell>
        </row>
        <row r="43">
          <cell r="D43">
            <v>0</v>
          </cell>
        </row>
        <row r="45">
          <cell r="D45">
            <v>0</v>
          </cell>
        </row>
        <row r="64">
          <cell r="AJ64">
            <v>16282.100974081623</v>
          </cell>
        </row>
        <row r="210">
          <cell r="D210">
            <v>927.6</v>
          </cell>
        </row>
        <row r="211">
          <cell r="D211">
            <v>913.53740193934868</v>
          </cell>
        </row>
        <row r="212">
          <cell r="C212">
            <v>-99.2</v>
          </cell>
          <cell r="O212">
            <v>7471.7040000000006</v>
          </cell>
          <cell r="Z212">
            <v>14150.343999999997</v>
          </cell>
          <cell r="AA212">
            <v>18383.808000000001</v>
          </cell>
        </row>
        <row r="213">
          <cell r="O213">
            <v>4041.92238</v>
          </cell>
          <cell r="Z213">
            <v>2951.7301280000015</v>
          </cell>
        </row>
        <row r="214">
          <cell r="D214">
            <v>1719.8821692200661</v>
          </cell>
        </row>
        <row r="215">
          <cell r="D215">
            <v>124</v>
          </cell>
        </row>
        <row r="216">
          <cell r="D216">
            <v>124</v>
          </cell>
        </row>
        <row r="217">
          <cell r="D217">
            <v>0</v>
          </cell>
        </row>
        <row r="224">
          <cell r="F224">
            <v>-176160243</v>
          </cell>
          <cell r="N224">
            <v>453.71888124403807</v>
          </cell>
        </row>
        <row r="339">
          <cell r="N339">
            <v>-2.9579179046446747E-3</v>
          </cell>
        </row>
        <row r="340">
          <cell r="N340">
            <v>0</v>
          </cell>
        </row>
        <row r="430">
          <cell r="C430">
            <v>0</v>
          </cell>
          <cell r="F430">
            <v>1000</v>
          </cell>
        </row>
        <row r="433">
          <cell r="C433">
            <v>0</v>
          </cell>
          <cell r="F433">
            <v>0</v>
          </cell>
        </row>
        <row r="459">
          <cell r="F459">
            <v>0</v>
          </cell>
        </row>
        <row r="460">
          <cell r="F460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 Notes"/>
      <sheetName val="Constants and Controls"/>
      <sheetName val="Column Summary"/>
      <sheetName val="Column Layout"/>
      <sheetName val="xlwings.conf"/>
      <sheetName val="COPY"/>
      <sheetName val="NTC01"/>
      <sheetName val="NTC02"/>
      <sheetName val="NTC03"/>
      <sheetName val="NTC04"/>
      <sheetName val="NTC05"/>
      <sheetName val="NTC06"/>
      <sheetName val="NTC07"/>
      <sheetName val="NTC08"/>
      <sheetName val="NTC10"/>
      <sheetName val="NTC11"/>
      <sheetName val="NTC13"/>
      <sheetName val="NTC14"/>
      <sheetName val="NTC15"/>
      <sheetName val="C74"/>
      <sheetName val="C75"/>
      <sheetName val="C76"/>
      <sheetName val="Schedule"/>
      <sheetName val="Schedule_D"/>
      <sheetName val="Schedule_W"/>
      <sheetName val="Schedule_fc"/>
      <sheetName val="Schedule_db"/>
      <sheetName val="Schedule_Nb"/>
      <sheetName val="Schedule_MinTies"/>
      <sheetName val="Schedule_Util"/>
    </sheetNames>
    <sheetDataSet>
      <sheetData sheetId="0"/>
      <sheetData sheetId="1">
        <row r="2">
          <cell r="B2" t="str">
            <v xml:space="preserve">Waterfront - North Tower Columns </v>
          </cell>
        </row>
        <row r="3">
          <cell r="B3">
            <v>16021</v>
          </cell>
          <cell r="M3" t="str">
            <v>C500A</v>
          </cell>
          <cell r="N3">
            <v>500</v>
          </cell>
          <cell r="O3"/>
          <cell r="P3"/>
          <cell r="Q3"/>
          <cell r="R3">
            <v>1</v>
          </cell>
          <cell r="S3">
            <v>1</v>
          </cell>
          <cell r="T3">
            <v>50</v>
          </cell>
          <cell r="U3">
            <v>40</v>
          </cell>
          <cell r="V3" t="str">
            <v>B</v>
          </cell>
          <cell r="W3">
            <v>500</v>
          </cell>
          <cell r="X3">
            <v>6</v>
          </cell>
          <cell r="Y3"/>
          <cell r="Z3">
            <v>32</v>
          </cell>
          <cell r="AA3">
            <v>16</v>
          </cell>
          <cell r="AB3">
            <v>0.6</v>
          </cell>
          <cell r="AC3">
            <v>1</v>
          </cell>
          <cell r="AD3">
            <v>2.4576000000000001E-2</v>
          </cell>
          <cell r="AE3">
            <v>186.40116411299439</v>
          </cell>
          <cell r="AF3">
            <v>-356</v>
          </cell>
          <cell r="AG3"/>
        </row>
        <row r="4">
          <cell r="M4" t="str">
            <v>C650A</v>
          </cell>
          <cell r="N4">
            <v>650</v>
          </cell>
          <cell r="O4"/>
          <cell r="P4"/>
          <cell r="Q4"/>
          <cell r="R4">
            <v>1</v>
          </cell>
          <cell r="S4">
            <v>1</v>
          </cell>
          <cell r="T4">
            <v>50</v>
          </cell>
          <cell r="U4">
            <v>40</v>
          </cell>
          <cell r="V4" t="str">
            <v>B</v>
          </cell>
          <cell r="W4">
            <v>500</v>
          </cell>
          <cell r="X4">
            <v>11</v>
          </cell>
          <cell r="Y4"/>
          <cell r="Z4">
            <v>32</v>
          </cell>
          <cell r="AA4">
            <v>16</v>
          </cell>
          <cell r="AB4">
            <v>0.6</v>
          </cell>
          <cell r="AC4">
            <v>27</v>
          </cell>
          <cell r="AD4">
            <v>2.6660355029585796E-2</v>
          </cell>
          <cell r="AE4">
            <v>144.51326206513048</v>
          </cell>
          <cell r="AF4">
            <v>-506</v>
          </cell>
          <cell r="AG4"/>
        </row>
        <row r="5">
          <cell r="M5" t="str">
            <v>C800A</v>
          </cell>
          <cell r="N5">
            <v>800</v>
          </cell>
          <cell r="O5"/>
          <cell r="P5"/>
          <cell r="Q5"/>
          <cell r="R5">
            <v>1</v>
          </cell>
          <cell r="S5">
            <v>1</v>
          </cell>
          <cell r="T5">
            <v>50</v>
          </cell>
          <cell r="U5">
            <v>40</v>
          </cell>
          <cell r="V5" t="str">
            <v>B</v>
          </cell>
          <cell r="W5">
            <v>500</v>
          </cell>
          <cell r="X5">
            <v>16</v>
          </cell>
          <cell r="Y5"/>
          <cell r="Z5">
            <v>32</v>
          </cell>
          <cell r="AA5">
            <v>16</v>
          </cell>
          <cell r="AB5">
            <v>0.6</v>
          </cell>
          <cell r="AC5">
            <v>27</v>
          </cell>
          <cell r="AD5">
            <v>2.5599999999999998E-2</v>
          </cell>
          <cell r="AE5">
            <v>128.80529879718151</v>
          </cell>
          <cell r="AF5">
            <v>-656</v>
          </cell>
          <cell r="AG5"/>
        </row>
        <row r="6">
          <cell r="M6" t="str">
            <v>C950A</v>
          </cell>
          <cell r="N6">
            <v>950</v>
          </cell>
          <cell r="O6"/>
          <cell r="P6"/>
          <cell r="Q6"/>
          <cell r="R6">
            <v>1</v>
          </cell>
          <cell r="S6">
            <v>1</v>
          </cell>
          <cell r="T6">
            <v>50</v>
          </cell>
          <cell r="U6">
            <v>40</v>
          </cell>
          <cell r="V6" t="str">
            <v>B</v>
          </cell>
          <cell r="W6">
            <v>500</v>
          </cell>
          <cell r="X6">
            <v>18</v>
          </cell>
          <cell r="Y6"/>
          <cell r="Z6">
            <v>36</v>
          </cell>
          <cell r="AA6">
            <v>16</v>
          </cell>
          <cell r="AB6">
            <v>0.6</v>
          </cell>
          <cell r="AC6">
            <v>1</v>
          </cell>
          <cell r="AD6">
            <v>2.5848199445983377E-2</v>
          </cell>
          <cell r="AE6">
            <v>139.97540600994523</v>
          </cell>
          <cell r="AF6">
            <v>-802</v>
          </cell>
          <cell r="AG6"/>
        </row>
        <row r="7">
          <cell r="M7" t="str">
            <v>C950B</v>
          </cell>
          <cell r="N7">
            <v>950</v>
          </cell>
          <cell r="O7"/>
          <cell r="P7"/>
          <cell r="Q7"/>
          <cell r="R7">
            <v>1</v>
          </cell>
          <cell r="S7">
            <v>1</v>
          </cell>
          <cell r="T7">
            <v>50</v>
          </cell>
          <cell r="U7">
            <v>40</v>
          </cell>
          <cell r="V7" t="str">
            <v>B</v>
          </cell>
          <cell r="W7">
            <v>500</v>
          </cell>
          <cell r="X7">
            <v>19</v>
          </cell>
          <cell r="Y7"/>
          <cell r="Z7">
            <v>40</v>
          </cell>
          <cell r="AA7">
            <v>16</v>
          </cell>
          <cell r="AB7">
            <v>0.6</v>
          </cell>
          <cell r="AC7">
            <v>26</v>
          </cell>
          <cell r="AD7">
            <v>3.3684210526315782E-2</v>
          </cell>
          <cell r="AE7">
            <v>131.94689145077132</v>
          </cell>
          <cell r="AF7">
            <v>-798</v>
          </cell>
          <cell r="AG7"/>
        </row>
        <row r="8">
          <cell r="B8" t="str">
            <v>S3</v>
          </cell>
          <cell r="M8" t="str">
            <v>C1100A</v>
          </cell>
          <cell r="N8">
            <v>1100</v>
          </cell>
          <cell r="O8"/>
          <cell r="P8"/>
          <cell r="Q8"/>
          <cell r="R8">
            <v>1</v>
          </cell>
          <cell r="S8">
            <v>1</v>
          </cell>
          <cell r="T8">
            <v>50</v>
          </cell>
          <cell r="U8">
            <v>40</v>
          </cell>
          <cell r="V8" t="str">
            <v>B</v>
          </cell>
          <cell r="W8">
            <v>500</v>
          </cell>
          <cell r="X8">
            <v>19</v>
          </cell>
          <cell r="Y8"/>
          <cell r="Z8">
            <v>40</v>
          </cell>
          <cell r="AA8">
            <v>16</v>
          </cell>
          <cell r="AB8">
            <v>0.6</v>
          </cell>
          <cell r="AC8">
            <v>26</v>
          </cell>
          <cell r="AD8">
            <v>2.5123966942148759E-2</v>
          </cell>
          <cell r="AE8">
            <v>156.74893871595387</v>
          </cell>
          <cell r="AF8">
            <v>-948</v>
          </cell>
          <cell r="AG8"/>
        </row>
        <row r="9">
          <cell r="B9" t="str">
            <v>U3</v>
          </cell>
          <cell r="M9" t="str">
            <v>C1100B</v>
          </cell>
          <cell r="N9">
            <v>1100</v>
          </cell>
          <cell r="O9"/>
          <cell r="P9"/>
          <cell r="Q9"/>
          <cell r="R9">
            <v>1</v>
          </cell>
          <cell r="S9">
            <v>1</v>
          </cell>
          <cell r="T9">
            <v>50</v>
          </cell>
          <cell r="U9">
            <v>40</v>
          </cell>
          <cell r="V9" t="str">
            <v>B</v>
          </cell>
          <cell r="W9">
            <v>500</v>
          </cell>
          <cell r="X9">
            <v>26</v>
          </cell>
          <cell r="Y9"/>
          <cell r="Z9">
            <v>40</v>
          </cell>
          <cell r="AA9">
            <v>16</v>
          </cell>
          <cell r="AB9">
            <v>0.6</v>
          </cell>
          <cell r="AC9">
            <v>8</v>
          </cell>
          <cell r="AD9">
            <v>3.43801652892562E-2</v>
          </cell>
          <cell r="AE9">
            <v>114.54730136935092</v>
          </cell>
          <cell r="AF9">
            <v>-948</v>
          </cell>
          <cell r="AG9"/>
        </row>
        <row r="10">
          <cell r="M10" t="str">
            <v>C1250A</v>
          </cell>
          <cell r="N10">
            <v>1250</v>
          </cell>
          <cell r="O10"/>
          <cell r="P10"/>
          <cell r="Q10"/>
          <cell r="R10">
            <v>1</v>
          </cell>
          <cell r="S10">
            <v>1</v>
          </cell>
          <cell r="T10">
            <v>50</v>
          </cell>
          <cell r="U10">
            <v>40</v>
          </cell>
          <cell r="V10" t="str">
            <v>B</v>
          </cell>
          <cell r="W10">
            <v>500</v>
          </cell>
          <cell r="X10">
            <v>25</v>
          </cell>
          <cell r="Y10"/>
          <cell r="Z10">
            <v>40</v>
          </cell>
          <cell r="AA10">
            <v>16</v>
          </cell>
          <cell r="AB10">
            <v>0.6</v>
          </cell>
          <cell r="AC10">
            <v>24</v>
          </cell>
          <cell r="AD10">
            <v>2.5600000000000001E-2</v>
          </cell>
          <cell r="AE10">
            <v>137.97874934566372</v>
          </cell>
          <cell r="AF10">
            <v>-1098</v>
          </cell>
          <cell r="AG10"/>
        </row>
        <row r="11">
          <cell r="B11" t="str">
            <v>Y</v>
          </cell>
          <cell r="M11" t="str">
            <v>C1250B</v>
          </cell>
          <cell r="N11">
            <v>1250</v>
          </cell>
          <cell r="O11"/>
          <cell r="P11"/>
          <cell r="Q11"/>
          <cell r="R11">
            <v>1</v>
          </cell>
          <cell r="S11">
            <v>1</v>
          </cell>
          <cell r="T11">
            <v>50</v>
          </cell>
          <cell r="U11">
            <v>40</v>
          </cell>
          <cell r="V11" t="str">
            <v>B</v>
          </cell>
          <cell r="W11">
            <v>500</v>
          </cell>
          <cell r="X11">
            <v>33</v>
          </cell>
          <cell r="Y11"/>
          <cell r="Z11">
            <v>40</v>
          </cell>
          <cell r="AA11">
            <v>16</v>
          </cell>
          <cell r="AB11">
            <v>0.6</v>
          </cell>
          <cell r="AC11">
            <v>16</v>
          </cell>
          <cell r="AD11">
            <v>3.3792000000000003E-2</v>
          </cell>
          <cell r="AE11">
            <v>104.52935556489675</v>
          </cell>
          <cell r="AF11">
            <v>-1098</v>
          </cell>
          <cell r="AG11"/>
        </row>
        <row r="12">
          <cell r="B12">
            <v>25</v>
          </cell>
          <cell r="M12" t="str">
            <v>C1400A</v>
          </cell>
          <cell r="N12">
            <v>1400</v>
          </cell>
          <cell r="O12"/>
          <cell r="P12"/>
          <cell r="Q12"/>
          <cell r="R12">
            <v>1</v>
          </cell>
          <cell r="S12">
            <v>1</v>
          </cell>
          <cell r="T12">
            <v>50</v>
          </cell>
          <cell r="U12">
            <v>40</v>
          </cell>
          <cell r="V12" t="str">
            <v>B</v>
          </cell>
          <cell r="W12">
            <v>500</v>
          </cell>
          <cell r="X12">
            <v>32</v>
          </cell>
          <cell r="Y12"/>
          <cell r="Z12">
            <v>40</v>
          </cell>
          <cell r="AA12">
            <v>16</v>
          </cell>
          <cell r="AB12">
            <v>0.6</v>
          </cell>
          <cell r="AC12">
            <v>23</v>
          </cell>
          <cell r="AD12">
            <v>2.6122448979591838E-2</v>
          </cell>
          <cell r="AE12">
            <v>122.52211349000193</v>
          </cell>
          <cell r="AF12">
            <v>-1248</v>
          </cell>
          <cell r="AG12"/>
        </row>
        <row r="13">
          <cell r="B13">
            <v>1.2</v>
          </cell>
          <cell r="M13" t="str">
            <v>C1400B</v>
          </cell>
          <cell r="N13">
            <v>1400</v>
          </cell>
          <cell r="O13"/>
          <cell r="P13"/>
          <cell r="Q13"/>
          <cell r="R13">
            <v>1</v>
          </cell>
          <cell r="S13">
            <v>1</v>
          </cell>
          <cell r="T13">
            <v>50</v>
          </cell>
          <cell r="U13">
            <v>40</v>
          </cell>
          <cell r="V13" t="str">
            <v>B</v>
          </cell>
          <cell r="W13">
            <v>500</v>
          </cell>
          <cell r="X13">
            <v>43</v>
          </cell>
          <cell r="Y13"/>
          <cell r="Z13">
            <v>40</v>
          </cell>
          <cell r="AA13">
            <v>16</v>
          </cell>
          <cell r="AB13">
            <v>0.6</v>
          </cell>
          <cell r="AC13">
            <v>23</v>
          </cell>
          <cell r="AD13">
            <v>3.5102040816326528E-2</v>
          </cell>
          <cell r="AE13">
            <v>91.179247248373528</v>
          </cell>
          <cell r="AF13">
            <v>-1248</v>
          </cell>
          <cell r="AG13"/>
        </row>
        <row r="14">
          <cell r="B14">
            <v>1.5</v>
          </cell>
          <cell r="M14" t="str">
            <v>C1550A</v>
          </cell>
          <cell r="N14">
            <v>1550</v>
          </cell>
          <cell r="O14"/>
          <cell r="P14"/>
          <cell r="Q14"/>
          <cell r="R14">
            <v>1</v>
          </cell>
          <cell r="S14">
            <v>1</v>
          </cell>
          <cell r="T14">
            <v>50</v>
          </cell>
          <cell r="U14">
            <v>40</v>
          </cell>
          <cell r="V14" t="str">
            <v>B</v>
          </cell>
          <cell r="W14">
            <v>500</v>
          </cell>
          <cell r="X14">
            <v>39</v>
          </cell>
          <cell r="Y14"/>
          <cell r="Z14">
            <v>40</v>
          </cell>
          <cell r="AA14">
            <v>16</v>
          </cell>
          <cell r="AB14">
            <v>0.6</v>
          </cell>
          <cell r="AC14">
            <v>23</v>
          </cell>
          <cell r="AD14">
            <v>2.5972944849115505E-2</v>
          </cell>
          <cell r="AE14">
            <v>112.61401358252643</v>
          </cell>
          <cell r="AF14">
            <v>-1398</v>
          </cell>
          <cell r="AG14"/>
        </row>
        <row r="15">
          <cell r="M15" t="str">
            <v>C1550B</v>
          </cell>
          <cell r="N15">
            <v>1550</v>
          </cell>
          <cell r="O15"/>
          <cell r="P15"/>
          <cell r="Q15"/>
          <cell r="R15">
            <v>1</v>
          </cell>
          <cell r="S15">
            <v>1</v>
          </cell>
          <cell r="T15">
            <v>50</v>
          </cell>
          <cell r="U15">
            <v>40</v>
          </cell>
          <cell r="V15" t="str">
            <v>B</v>
          </cell>
          <cell r="W15">
            <v>500</v>
          </cell>
          <cell r="X15">
            <v>31</v>
          </cell>
          <cell r="Y15"/>
          <cell r="Z15">
            <v>50</v>
          </cell>
          <cell r="AA15">
            <v>16</v>
          </cell>
          <cell r="AB15">
            <v>0.6</v>
          </cell>
          <cell r="AC15">
            <v>34</v>
          </cell>
          <cell r="AD15">
            <v>3.2258064516129031E-2</v>
          </cell>
          <cell r="AE15">
            <v>140.66227752202042</v>
          </cell>
          <cell r="AF15">
            <v>-1388</v>
          </cell>
          <cell r="AG15"/>
        </row>
        <row r="16">
          <cell r="M16" t="str">
            <v>C1700A</v>
          </cell>
          <cell r="N16">
            <v>1700</v>
          </cell>
          <cell r="O16"/>
          <cell r="P16"/>
          <cell r="Q16"/>
          <cell r="R16">
            <v>1</v>
          </cell>
          <cell r="S16">
            <v>1</v>
          </cell>
          <cell r="T16">
            <v>80</v>
          </cell>
          <cell r="U16">
            <v>40</v>
          </cell>
          <cell r="V16" t="str">
            <v>B</v>
          </cell>
          <cell r="W16">
            <v>500</v>
          </cell>
          <cell r="X16">
            <v>28</v>
          </cell>
          <cell r="Y16"/>
          <cell r="Z16">
            <v>50</v>
          </cell>
          <cell r="AA16">
            <v>16</v>
          </cell>
          <cell r="AB16">
            <v>0.6</v>
          </cell>
          <cell r="AC16">
            <v>34</v>
          </cell>
          <cell r="AD16">
            <v>2.4221453287197232E-2</v>
          </cell>
          <cell r="AE16">
            <v>172.5631964721822</v>
          </cell>
          <cell r="AF16">
            <v>-1538</v>
          </cell>
          <cell r="AG16"/>
        </row>
        <row r="17">
          <cell r="F17"/>
          <cell r="M17" t="str">
            <v>C1700B</v>
          </cell>
          <cell r="N17">
            <v>1700</v>
          </cell>
          <cell r="O17"/>
          <cell r="P17"/>
          <cell r="Q17"/>
          <cell r="R17">
            <v>1</v>
          </cell>
          <cell r="S17">
            <v>1</v>
          </cell>
          <cell r="T17">
            <v>80</v>
          </cell>
          <cell r="U17">
            <v>40</v>
          </cell>
          <cell r="V17" t="str">
            <v>B</v>
          </cell>
          <cell r="W17">
            <v>500</v>
          </cell>
          <cell r="X17">
            <v>36</v>
          </cell>
          <cell r="Y17"/>
          <cell r="Z17">
            <v>50</v>
          </cell>
          <cell r="AA17">
            <v>16</v>
          </cell>
          <cell r="AB17">
            <v>0.6</v>
          </cell>
          <cell r="AC17">
            <v>34</v>
          </cell>
          <cell r="AD17">
            <v>3.1141868512110728E-2</v>
          </cell>
          <cell r="AE17">
            <v>134.21581947836393</v>
          </cell>
          <cell r="AF17">
            <v>-1538</v>
          </cell>
          <cell r="AG17"/>
        </row>
        <row r="18">
          <cell r="A18" t="str">
            <v>Floor RL</v>
          </cell>
          <cell r="B18">
            <v>4</v>
          </cell>
          <cell r="F18" t="str">
            <v>Name</v>
          </cell>
          <cell r="M18" t="str">
            <v>C1850A</v>
          </cell>
          <cell r="N18">
            <v>1850</v>
          </cell>
          <cell r="O18"/>
          <cell r="P18"/>
          <cell r="Q18"/>
          <cell r="R18">
            <v>1</v>
          </cell>
          <cell r="S18">
            <v>1</v>
          </cell>
          <cell r="T18">
            <v>80</v>
          </cell>
          <cell r="U18">
            <v>40</v>
          </cell>
          <cell r="V18" t="str">
            <v>B</v>
          </cell>
          <cell r="W18">
            <v>500</v>
          </cell>
          <cell r="X18">
            <v>33</v>
          </cell>
          <cell r="Y18"/>
          <cell r="Z18">
            <v>50</v>
          </cell>
          <cell r="AA18">
            <v>16</v>
          </cell>
          <cell r="AB18">
            <v>0.6</v>
          </cell>
          <cell r="AC18">
            <v>34</v>
          </cell>
          <cell r="AD18">
            <v>2.4105186267348429E-2</v>
          </cell>
          <cell r="AE18">
            <v>160.69722421998699</v>
          </cell>
          <cell r="AF18">
            <v>-1688</v>
          </cell>
          <cell r="AG18"/>
        </row>
        <row r="19">
          <cell r="A19" t="str">
            <v>Floor to Floor Height</v>
          </cell>
          <cell r="B19">
            <v>5</v>
          </cell>
          <cell r="F19" t="str">
            <v>Roof</v>
          </cell>
          <cell r="G19">
            <v>239.95</v>
          </cell>
          <cell r="H19"/>
          <cell r="M19" t="str">
            <v>C1850B</v>
          </cell>
          <cell r="N19">
            <v>1850</v>
          </cell>
          <cell r="O19"/>
          <cell r="P19"/>
          <cell r="Q19"/>
          <cell r="R19">
            <v>1</v>
          </cell>
          <cell r="S19">
            <v>1</v>
          </cell>
          <cell r="T19">
            <v>80</v>
          </cell>
          <cell r="U19">
            <v>40</v>
          </cell>
          <cell r="V19" t="str">
            <v>B</v>
          </cell>
          <cell r="W19">
            <v>500</v>
          </cell>
          <cell r="X19">
            <v>43</v>
          </cell>
          <cell r="Y19"/>
          <cell r="Z19">
            <v>50</v>
          </cell>
          <cell r="AA19">
            <v>16</v>
          </cell>
          <cell r="AB19">
            <v>0.6</v>
          </cell>
          <cell r="AC19">
            <v>14</v>
          </cell>
          <cell r="AD19">
            <v>3.1409788166544925E-2</v>
          </cell>
          <cell r="AE19">
            <v>123.32577672696677</v>
          </cell>
          <cell r="AF19">
            <v>-1688</v>
          </cell>
          <cell r="AG19"/>
        </row>
        <row r="20">
          <cell r="A20" t="str">
            <v>Clear Height</v>
          </cell>
          <cell r="B20">
            <v>6</v>
          </cell>
          <cell r="F20" t="str">
            <v>L54</v>
          </cell>
          <cell r="G20">
            <v>231.16</v>
          </cell>
          <cell r="H20">
            <v>8.789999999999992</v>
          </cell>
          <cell r="M20" t="str">
            <v>C2000A</v>
          </cell>
          <cell r="N20">
            <v>2000</v>
          </cell>
          <cell r="O20"/>
          <cell r="P20"/>
          <cell r="Q20"/>
          <cell r="R20">
            <v>1</v>
          </cell>
          <cell r="S20">
            <v>1</v>
          </cell>
          <cell r="T20">
            <v>80</v>
          </cell>
          <cell r="U20">
            <v>40</v>
          </cell>
          <cell r="V20" t="str">
            <v>B</v>
          </cell>
          <cell r="W20">
            <v>500</v>
          </cell>
          <cell r="X20">
            <v>39</v>
          </cell>
          <cell r="Y20"/>
          <cell r="Z20">
            <v>50</v>
          </cell>
          <cell r="AA20">
            <v>16</v>
          </cell>
          <cell r="AB20">
            <v>0.6</v>
          </cell>
          <cell r="AC20">
            <v>14</v>
          </cell>
          <cell r="AD20">
            <v>2.4375000000000001E-2</v>
          </cell>
          <cell r="AE20">
            <v>148.05762300764204</v>
          </cell>
          <cell r="AF20">
            <v>-1838</v>
          </cell>
          <cell r="AG20"/>
        </row>
        <row r="21">
          <cell r="A21" t="str">
            <v>Column Self Weight [kN]</v>
          </cell>
          <cell r="B21">
            <v>9</v>
          </cell>
          <cell r="F21" t="str">
            <v>L53</v>
          </cell>
          <cell r="G21">
            <v>227.29</v>
          </cell>
          <cell r="H21">
            <v>3.8700000000000045</v>
          </cell>
          <cell r="M21" t="str">
            <v>C2000B</v>
          </cell>
          <cell r="N21">
            <v>2000</v>
          </cell>
          <cell r="O21"/>
          <cell r="P21"/>
          <cell r="Q21"/>
          <cell r="R21">
            <v>1</v>
          </cell>
          <cell r="S21">
            <v>1</v>
          </cell>
          <cell r="T21">
            <v>80</v>
          </cell>
          <cell r="U21">
            <v>40</v>
          </cell>
          <cell r="V21" t="str">
            <v>B</v>
          </cell>
          <cell r="W21">
            <v>500</v>
          </cell>
          <cell r="X21">
            <v>40</v>
          </cell>
          <cell r="Y21"/>
          <cell r="Z21">
            <v>55</v>
          </cell>
          <cell r="AA21">
            <v>16</v>
          </cell>
          <cell r="AB21">
            <v>0.6</v>
          </cell>
          <cell r="AC21">
            <v>14</v>
          </cell>
          <cell r="AD21">
            <v>3.0250000000000003E-2</v>
          </cell>
          <cell r="AE21">
            <v>143.96348335075226</v>
          </cell>
          <cell r="AF21">
            <v>-1833</v>
          </cell>
          <cell r="AG21"/>
        </row>
        <row r="22">
          <cell r="A22" t="str">
            <v>Level SW [kN]</v>
          </cell>
          <cell r="B22">
            <v>10</v>
          </cell>
          <cell r="F22" t="str">
            <v>L52</v>
          </cell>
          <cell r="G22">
            <v>221.79</v>
          </cell>
          <cell r="H22">
            <v>5.5</v>
          </cell>
          <cell r="M22" t="str">
            <v>C2150A</v>
          </cell>
          <cell r="N22">
            <v>2150</v>
          </cell>
          <cell r="O22"/>
          <cell r="P22"/>
          <cell r="Q22"/>
          <cell r="R22">
            <v>1</v>
          </cell>
          <cell r="S22">
            <v>1</v>
          </cell>
          <cell r="T22">
            <v>80</v>
          </cell>
          <cell r="U22">
            <v>40</v>
          </cell>
          <cell r="V22" t="str">
            <v>B</v>
          </cell>
          <cell r="W22">
            <v>500</v>
          </cell>
          <cell r="X22">
            <v>36</v>
          </cell>
          <cell r="Y22"/>
          <cell r="Z22">
            <v>55</v>
          </cell>
          <cell r="AA22">
            <v>16</v>
          </cell>
          <cell r="AB22">
            <v>0.6</v>
          </cell>
          <cell r="AC22">
            <v>14</v>
          </cell>
          <cell r="AD22">
            <v>2.3558680367766358E-2</v>
          </cell>
          <cell r="AE22">
            <v>173.04939533523779</v>
          </cell>
          <cell r="AF22">
            <v>-1983</v>
          </cell>
          <cell r="AG22"/>
        </row>
        <row r="23">
          <cell r="A23" t="str">
            <v>Level SDL [kN]</v>
          </cell>
          <cell r="B23">
            <v>11</v>
          </cell>
          <cell r="F23" t="str">
            <v>L51</v>
          </cell>
          <cell r="G23">
            <v>217.39</v>
          </cell>
          <cell r="H23">
            <v>4.4000000000000057</v>
          </cell>
          <cell r="M23" t="str">
            <v>C2150B</v>
          </cell>
          <cell r="N23">
            <v>2150</v>
          </cell>
          <cell r="O23"/>
          <cell r="P23"/>
          <cell r="Q23"/>
          <cell r="R23">
            <v>1</v>
          </cell>
          <cell r="S23">
            <v>1</v>
          </cell>
          <cell r="T23">
            <v>80</v>
          </cell>
          <cell r="U23">
            <v>40</v>
          </cell>
          <cell r="V23" t="str">
            <v>B</v>
          </cell>
          <cell r="W23">
            <v>500</v>
          </cell>
          <cell r="X23">
            <v>49</v>
          </cell>
          <cell r="Y23"/>
          <cell r="Z23">
            <v>55</v>
          </cell>
          <cell r="AA23">
            <v>16</v>
          </cell>
          <cell r="AB23">
            <v>0.6</v>
          </cell>
          <cell r="AC23">
            <v>32</v>
          </cell>
          <cell r="AD23">
            <v>3.2065981611681983E-2</v>
          </cell>
          <cell r="AE23">
            <v>127.13833126670531</v>
          </cell>
          <cell r="AF23">
            <v>-1983</v>
          </cell>
          <cell r="AG23"/>
        </row>
        <row r="24">
          <cell r="A24" t="str">
            <v>Level RLL [kN]</v>
          </cell>
          <cell r="B24">
            <v>12</v>
          </cell>
          <cell r="F24" t="str">
            <v>L50</v>
          </cell>
          <cell r="G24">
            <v>213.52</v>
          </cell>
          <cell r="H24">
            <v>3.8699999999999761</v>
          </cell>
          <cell r="M24" t="str">
            <v>C2100B</v>
          </cell>
          <cell r="N24">
            <v>2100</v>
          </cell>
          <cell r="O24"/>
          <cell r="P24"/>
          <cell r="Q24"/>
          <cell r="R24">
            <v>1</v>
          </cell>
          <cell r="S24">
            <v>1</v>
          </cell>
          <cell r="T24">
            <v>80</v>
          </cell>
          <cell r="U24">
            <v>40</v>
          </cell>
          <cell r="V24" t="str">
            <v>B</v>
          </cell>
          <cell r="W24">
            <v>500</v>
          </cell>
          <cell r="X24">
            <v>45</v>
          </cell>
          <cell r="Y24"/>
          <cell r="Z24">
            <v>55</v>
          </cell>
          <cell r="AA24">
            <v>16</v>
          </cell>
          <cell r="AB24">
            <v>0.6</v>
          </cell>
          <cell r="AC24">
            <v>32</v>
          </cell>
          <cell r="AD24">
            <v>3.0867346938775509E-2</v>
          </cell>
          <cell r="AE24">
            <v>134.94885776420156</v>
          </cell>
          <cell r="AF24">
            <v>-1933</v>
          </cell>
          <cell r="AG24"/>
        </row>
        <row r="25">
          <cell r="A25" t="str">
            <v>Level NRLL [kN]</v>
          </cell>
          <cell r="B25">
            <v>13</v>
          </cell>
          <cell r="F25" t="str">
            <v>L49</v>
          </cell>
          <cell r="G25">
            <v>209.65</v>
          </cell>
          <cell r="H25">
            <v>3.8700000000000045</v>
          </cell>
          <cell r="M25" t="str">
            <v>C2200C</v>
          </cell>
          <cell r="N25">
            <v>2200</v>
          </cell>
          <cell r="O25"/>
          <cell r="P25"/>
          <cell r="Q25"/>
          <cell r="R25">
            <v>1</v>
          </cell>
          <cell r="S25">
            <v>1</v>
          </cell>
          <cell r="T25">
            <v>80</v>
          </cell>
          <cell r="U25">
            <v>40</v>
          </cell>
          <cell r="V25" t="str">
            <v>B</v>
          </cell>
          <cell r="W25">
            <v>500</v>
          </cell>
          <cell r="X25">
            <v>50</v>
          </cell>
          <cell r="Y25"/>
          <cell r="Z25">
            <v>60</v>
          </cell>
          <cell r="AA25">
            <v>16</v>
          </cell>
          <cell r="AB25">
            <v>0.6</v>
          </cell>
          <cell r="AC25">
            <v>50</v>
          </cell>
          <cell r="AD25">
            <v>3.71900826446281E-2</v>
          </cell>
          <cell r="AE25">
            <v>127.422998029602</v>
          </cell>
          <cell r="AF25">
            <v>-2028</v>
          </cell>
          <cell r="AG25"/>
        </row>
        <row r="26">
          <cell r="A26" t="str">
            <v>RLL T.A. [m2]</v>
          </cell>
          <cell r="B26">
            <v>16</v>
          </cell>
          <cell r="F26" t="str">
            <v>L48</v>
          </cell>
          <cell r="G26">
            <v>205.78</v>
          </cell>
          <cell r="H26">
            <v>3.8700000000000045</v>
          </cell>
          <cell r="M26" t="str">
            <v>C2300C</v>
          </cell>
          <cell r="N26">
            <v>2300</v>
          </cell>
          <cell r="O26"/>
          <cell r="P26"/>
          <cell r="Q26"/>
          <cell r="R26">
            <v>1</v>
          </cell>
          <cell r="S26">
            <v>1</v>
          </cell>
          <cell r="T26">
            <v>80</v>
          </cell>
          <cell r="U26">
            <v>40</v>
          </cell>
          <cell r="V26" t="str">
            <v>B</v>
          </cell>
          <cell r="W26">
            <v>500</v>
          </cell>
          <cell r="X26">
            <v>50</v>
          </cell>
          <cell r="Y26"/>
          <cell r="Z26">
            <v>63</v>
          </cell>
          <cell r="AA26">
            <v>16</v>
          </cell>
          <cell r="AB26">
            <v>0.6</v>
          </cell>
          <cell r="AC26">
            <v>28</v>
          </cell>
          <cell r="AD26">
            <v>3.7514177693761815E-2</v>
          </cell>
          <cell r="AE26">
            <v>133.51768777756621</v>
          </cell>
          <cell r="AF26">
            <v>-2125</v>
          </cell>
          <cell r="AG26"/>
        </row>
        <row r="27">
          <cell r="A27" t="str">
            <v>NRLL T.A. [m2]</v>
          </cell>
          <cell r="B27">
            <v>19</v>
          </cell>
          <cell r="F27" t="str">
            <v>L47</v>
          </cell>
          <cell r="G27">
            <v>201.91</v>
          </cell>
          <cell r="H27">
            <v>3.8700000000000045</v>
          </cell>
          <cell r="M27" t="str">
            <v>C2400C</v>
          </cell>
          <cell r="N27">
            <v>2400</v>
          </cell>
          <cell r="O27"/>
          <cell r="P27"/>
          <cell r="Q27"/>
          <cell r="R27">
            <v>1</v>
          </cell>
          <cell r="S27">
            <v>1</v>
          </cell>
          <cell r="T27">
            <v>80</v>
          </cell>
          <cell r="U27">
            <v>40</v>
          </cell>
          <cell r="V27" t="str">
            <v>B</v>
          </cell>
          <cell r="W27">
            <v>500</v>
          </cell>
          <cell r="X27">
            <v>50</v>
          </cell>
          <cell r="Y27"/>
          <cell r="Z27">
            <v>65</v>
          </cell>
          <cell r="AA27">
            <v>16</v>
          </cell>
          <cell r="AB27">
            <v>0.6</v>
          </cell>
          <cell r="AC27">
            <v>33</v>
          </cell>
          <cell r="AD27">
            <v>3.6675347222222224E-2</v>
          </cell>
          <cell r="AE27">
            <v>139.6752093786022</v>
          </cell>
          <cell r="AF27">
            <v>-2223</v>
          </cell>
          <cell r="AG27"/>
        </row>
        <row r="28">
          <cell r="A28" t="str">
            <v>Walls/Façade [kN]</v>
          </cell>
          <cell r="B28">
            <v>24</v>
          </cell>
          <cell r="F28" t="str">
            <v>L46</v>
          </cell>
          <cell r="G28">
            <v>198.04</v>
          </cell>
          <cell r="H28">
            <v>3.8700000000000045</v>
          </cell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</row>
        <row r="29">
          <cell r="A29" t="str">
            <v>EDL [kN]</v>
          </cell>
          <cell r="B29">
            <v>25</v>
          </cell>
          <cell r="F29" t="str">
            <v>L45</v>
          </cell>
          <cell r="G29">
            <v>194.17</v>
          </cell>
          <cell r="H29">
            <v>3.8700000000000045</v>
          </cell>
          <cell r="M29" t="str">
            <v>C700B</v>
          </cell>
          <cell r="N29">
            <v>700</v>
          </cell>
          <cell r="O29"/>
          <cell r="P29"/>
          <cell r="Q29"/>
          <cell r="R29">
            <v>1</v>
          </cell>
          <cell r="S29">
            <v>1</v>
          </cell>
          <cell r="T29">
            <v>50</v>
          </cell>
          <cell r="U29">
            <v>40</v>
          </cell>
          <cell r="V29" t="str">
            <v>B</v>
          </cell>
          <cell r="W29">
            <v>500</v>
          </cell>
          <cell r="X29">
            <v>13</v>
          </cell>
          <cell r="Y29"/>
          <cell r="Z29">
            <v>28</v>
          </cell>
          <cell r="AA29">
            <v>12</v>
          </cell>
          <cell r="AB29">
            <v>0.6</v>
          </cell>
          <cell r="AC29">
            <v>33</v>
          </cell>
          <cell r="AD29">
            <v>2.0800000000000003E-2</v>
          </cell>
          <cell r="AE29">
            <v>137.26343286453866</v>
          </cell>
          <cell r="AF29">
            <v>-568</v>
          </cell>
          <cell r="AG29"/>
        </row>
        <row r="30">
          <cell r="A30" t="str">
            <v>ELL [kN]</v>
          </cell>
          <cell r="B30">
            <v>26</v>
          </cell>
          <cell r="F30" t="str">
            <v>L44</v>
          </cell>
          <cell r="G30">
            <v>190.3</v>
          </cell>
          <cell r="H30">
            <v>3.8699999999999761</v>
          </cell>
          <cell r="M30" t="str">
            <v>C650B</v>
          </cell>
          <cell r="N30">
            <v>650</v>
          </cell>
          <cell r="O30"/>
          <cell r="P30"/>
          <cell r="Q30"/>
          <cell r="R30">
            <v>1</v>
          </cell>
          <cell r="S30">
            <v>1</v>
          </cell>
          <cell r="T30">
            <v>50</v>
          </cell>
          <cell r="U30">
            <v>40</v>
          </cell>
          <cell r="V30" t="str">
            <v>B</v>
          </cell>
          <cell r="W30">
            <v>500</v>
          </cell>
          <cell r="X30">
            <v>11</v>
          </cell>
          <cell r="Y30"/>
          <cell r="Z30">
            <v>28</v>
          </cell>
          <cell r="AA30">
            <v>12</v>
          </cell>
          <cell r="AB30">
            <v>0.6</v>
          </cell>
          <cell r="AC30">
            <v>33</v>
          </cell>
          <cell r="AD30">
            <v>2.0411834319526624E-2</v>
          </cell>
          <cell r="AE30">
            <v>147.94045405086479</v>
          </cell>
          <cell r="AF30">
            <v>-518</v>
          </cell>
          <cell r="AG30"/>
        </row>
        <row r="31">
          <cell r="A31" t="str">
            <v>Transfer Cols</v>
          </cell>
          <cell r="B31">
            <v>27</v>
          </cell>
          <cell r="F31" t="str">
            <v>L43</v>
          </cell>
          <cell r="G31">
            <v>186.43</v>
          </cell>
          <cell r="H31">
            <v>3.8700000000000045</v>
          </cell>
          <cell r="M31" t="str">
            <v>C600B</v>
          </cell>
          <cell r="N31">
            <v>600</v>
          </cell>
          <cell r="O31"/>
          <cell r="P31"/>
          <cell r="Q31"/>
          <cell r="R31">
            <v>1</v>
          </cell>
          <cell r="S31">
            <v>1</v>
          </cell>
          <cell r="T31">
            <v>50</v>
          </cell>
          <cell r="U31">
            <v>40</v>
          </cell>
          <cell r="V31" t="str">
            <v>B</v>
          </cell>
          <cell r="W31">
            <v>500</v>
          </cell>
          <cell r="X31">
            <v>13</v>
          </cell>
          <cell r="Y31"/>
          <cell r="Z31">
            <v>24</v>
          </cell>
          <cell r="AA31">
            <v>12</v>
          </cell>
          <cell r="AB31">
            <v>0.6</v>
          </cell>
          <cell r="AC31">
            <v>28</v>
          </cell>
          <cell r="AD31">
            <v>2.0799999999999999E-2</v>
          </cell>
          <cell r="AE31">
            <v>114.06397942264479</v>
          </cell>
          <cell r="AF31">
            <v>-472</v>
          </cell>
          <cell r="AG31"/>
        </row>
        <row r="32">
          <cell r="A32" t="str">
            <v>% Transfer</v>
          </cell>
          <cell r="B32">
            <v>28</v>
          </cell>
          <cell r="F32" t="str">
            <v>L42M</v>
          </cell>
          <cell r="G32">
            <v>182.56</v>
          </cell>
          <cell r="H32">
            <v>3.8700000000000045</v>
          </cell>
          <cell r="M32" t="str">
            <v>C500A</v>
          </cell>
          <cell r="N32">
            <v>500</v>
          </cell>
          <cell r="O32"/>
          <cell r="P32"/>
          <cell r="Q32"/>
          <cell r="R32">
            <v>1</v>
          </cell>
          <cell r="S32">
            <v>1</v>
          </cell>
          <cell r="T32">
            <v>50</v>
          </cell>
          <cell r="U32">
            <v>40</v>
          </cell>
          <cell r="V32" t="str">
            <v>B</v>
          </cell>
          <cell r="W32">
            <v>500</v>
          </cell>
          <cell r="X32">
            <v>13</v>
          </cell>
          <cell r="Y32"/>
          <cell r="Z32">
            <v>23</v>
          </cell>
          <cell r="AA32">
            <v>12</v>
          </cell>
          <cell r="AB32">
            <v>0.6</v>
          </cell>
          <cell r="AC32">
            <v>28</v>
          </cell>
          <cell r="AD32">
            <v>2.7508000000000001E-2</v>
          </cell>
          <cell r="AE32">
            <v>90.13954306069175</v>
          </cell>
          <cell r="AF32">
            <v>-373</v>
          </cell>
          <cell r="AG32"/>
        </row>
        <row r="33">
          <cell r="A33" t="str">
            <v>Floor Tributary Area</v>
          </cell>
          <cell r="B33">
            <v>14</v>
          </cell>
          <cell r="F33" t="str">
            <v>L42</v>
          </cell>
          <cell r="G33">
            <v>178.69</v>
          </cell>
          <cell r="H33">
            <v>3.8700000000000045</v>
          </cell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</row>
        <row r="34">
          <cell r="A34" t="str">
            <v>Floor Effective Slab THK</v>
          </cell>
          <cell r="B34">
            <v>15</v>
          </cell>
          <cell r="F34" t="str">
            <v>L41</v>
          </cell>
          <cell r="G34">
            <v>174.29</v>
          </cell>
          <cell r="H34">
            <v>4.4000000000000057</v>
          </cell>
          <cell r="M34" t="str">
            <v>3000x850</v>
          </cell>
          <cell r="N34">
            <v>3000</v>
          </cell>
          <cell r="O34">
            <v>850</v>
          </cell>
          <cell r="P34"/>
          <cell r="Q34"/>
          <cell r="R34">
            <v>1</v>
          </cell>
          <cell r="S34">
            <v>1</v>
          </cell>
          <cell r="T34">
            <v>80</v>
          </cell>
          <cell r="U34">
            <v>40</v>
          </cell>
          <cell r="V34" t="str">
            <v>B</v>
          </cell>
          <cell r="W34">
            <v>500</v>
          </cell>
          <cell r="X34">
            <v>7</v>
          </cell>
          <cell r="Y34">
            <v>25</v>
          </cell>
          <cell r="Z34">
            <v>40</v>
          </cell>
          <cell r="AA34">
            <v>12</v>
          </cell>
          <cell r="AB34">
            <v>0.6</v>
          </cell>
          <cell r="AC34">
            <v>28</v>
          </cell>
          <cell r="AD34">
            <v>2.95679308573157E-2</v>
          </cell>
          <cell r="AE34">
            <v>117.66666666666667</v>
          </cell>
          <cell r="AF34">
            <v>119</v>
          </cell>
          <cell r="AG34"/>
        </row>
        <row r="35">
          <cell r="A35" t="str">
            <v>Red. Area</v>
          </cell>
          <cell r="B35">
            <v>16</v>
          </cell>
          <cell r="F35" t="str">
            <v>L40</v>
          </cell>
          <cell r="G35">
            <v>169.89</v>
          </cell>
          <cell r="H35">
            <v>4.4000000000000057</v>
          </cell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</row>
        <row r="36">
          <cell r="A36" t="str">
            <v>Red. Area SDL</v>
          </cell>
          <cell r="B36">
            <v>17</v>
          </cell>
          <cell r="F36" t="str">
            <v>L39</v>
          </cell>
          <cell r="G36">
            <v>166.02</v>
          </cell>
          <cell r="H36">
            <v>3.8699999999999761</v>
          </cell>
          <cell r="M36" t="str">
            <v>2000x2000B</v>
          </cell>
          <cell r="N36">
            <v>2000</v>
          </cell>
          <cell r="O36">
            <v>2000</v>
          </cell>
          <cell r="P36"/>
          <cell r="Q36"/>
          <cell r="R36">
            <v>1</v>
          </cell>
          <cell r="S36">
            <v>1</v>
          </cell>
          <cell r="T36">
            <v>100</v>
          </cell>
          <cell r="U36">
            <v>40</v>
          </cell>
          <cell r="V36" t="str">
            <v>B</v>
          </cell>
          <cell r="W36">
            <v>500</v>
          </cell>
          <cell r="X36">
            <v>15</v>
          </cell>
          <cell r="Y36">
            <v>15</v>
          </cell>
          <cell r="Z36">
            <v>40</v>
          </cell>
          <cell r="AA36">
            <v>16</v>
          </cell>
          <cell r="AB36">
            <v>0.6</v>
          </cell>
          <cell r="AC36">
            <v>12</v>
          </cell>
          <cell r="AD36">
            <v>1.7592918860102839E-2</v>
          </cell>
          <cell r="AE36">
            <v>132</v>
          </cell>
          <cell r="AF36">
            <v>132</v>
          </cell>
          <cell r="AG36"/>
        </row>
        <row r="37">
          <cell r="A37" t="str">
            <v>Red. Area LL</v>
          </cell>
          <cell r="B37">
            <v>18</v>
          </cell>
          <cell r="F37" t="str">
            <v>L38</v>
          </cell>
          <cell r="G37">
            <v>162.15</v>
          </cell>
          <cell r="H37">
            <v>3.8700000000000045</v>
          </cell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</row>
        <row r="38">
          <cell r="A38" t="str">
            <v>Non Red. Area</v>
          </cell>
          <cell r="B38">
            <v>19</v>
          </cell>
          <cell r="F38" t="str">
            <v>L37</v>
          </cell>
          <cell r="G38">
            <v>158.28</v>
          </cell>
          <cell r="H38">
            <v>3.8700000000000045</v>
          </cell>
          <cell r="M38" t="str">
            <v>2000x600B</v>
          </cell>
          <cell r="N38">
            <v>2000</v>
          </cell>
          <cell r="O38">
            <v>600</v>
          </cell>
          <cell r="P38"/>
          <cell r="Q38"/>
          <cell r="R38">
            <v>1</v>
          </cell>
          <cell r="S38">
            <v>1</v>
          </cell>
          <cell r="T38">
            <v>100</v>
          </cell>
          <cell r="U38">
            <v>40</v>
          </cell>
          <cell r="V38" t="str">
            <v>B</v>
          </cell>
          <cell r="W38">
            <v>500</v>
          </cell>
          <cell r="X38">
            <v>4</v>
          </cell>
          <cell r="Y38">
            <v>14</v>
          </cell>
          <cell r="Z38">
            <v>32</v>
          </cell>
          <cell r="AA38">
            <v>16</v>
          </cell>
          <cell r="AB38">
            <v>0.6</v>
          </cell>
          <cell r="AC38">
            <v>21</v>
          </cell>
          <cell r="AD38">
            <v>2.1446605848506321E-2</v>
          </cell>
          <cell r="AE38">
            <v>152</v>
          </cell>
          <cell r="AF38">
            <v>142.76923076923077</v>
          </cell>
          <cell r="AG38"/>
        </row>
        <row r="39">
          <cell r="A39" t="str">
            <v>Non. Red. Area SDL</v>
          </cell>
          <cell r="B39">
            <v>20</v>
          </cell>
          <cell r="F39" t="str">
            <v>L36</v>
          </cell>
          <cell r="G39">
            <v>154.41</v>
          </cell>
          <cell r="H39">
            <v>3.8700000000000045</v>
          </cell>
          <cell r="M39" t="str">
            <v>900x450B</v>
          </cell>
          <cell r="N39">
            <v>900</v>
          </cell>
          <cell r="O39">
            <v>450</v>
          </cell>
          <cell r="P39"/>
          <cell r="Q39"/>
          <cell r="R39">
            <v>1</v>
          </cell>
          <cell r="S39">
            <v>1</v>
          </cell>
          <cell r="T39">
            <v>100</v>
          </cell>
          <cell r="U39">
            <v>40</v>
          </cell>
          <cell r="V39" t="str">
            <v>B</v>
          </cell>
          <cell r="W39">
            <v>500</v>
          </cell>
          <cell r="X39">
            <v>2</v>
          </cell>
          <cell r="Y39">
            <v>6</v>
          </cell>
          <cell r="Z39">
            <v>28</v>
          </cell>
          <cell r="AA39">
            <v>16</v>
          </cell>
          <cell r="AB39">
            <v>0.6</v>
          </cell>
          <cell r="AC39">
            <v>11</v>
          </cell>
          <cell r="AD39">
            <v>1.824450844751406E-2</v>
          </cell>
          <cell r="AE39">
            <v>310</v>
          </cell>
          <cell r="AF39">
            <v>152</v>
          </cell>
          <cell r="AG39"/>
        </row>
        <row r="40">
          <cell r="A40" t="str">
            <v>Non. Red. Area LL</v>
          </cell>
          <cell r="B40">
            <v>21</v>
          </cell>
          <cell r="F40" t="str">
            <v>L35</v>
          </cell>
          <cell r="G40">
            <v>150.54</v>
          </cell>
          <cell r="H40">
            <v>3.8700000000000045</v>
          </cell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</row>
        <row r="41">
          <cell r="A41" t="str">
            <v>Cumulative Reducible T.A.</v>
          </cell>
          <cell r="B41">
            <v>22</v>
          </cell>
          <cell r="F41" t="str">
            <v>L34</v>
          </cell>
          <cell r="G41">
            <v>146.66999999999999</v>
          </cell>
          <cell r="H41">
            <v>3.8700000000000045</v>
          </cell>
          <cell r="M41" t="str">
            <v>2000x1100</v>
          </cell>
          <cell r="N41">
            <v>2000</v>
          </cell>
          <cell r="O41">
            <v>1100</v>
          </cell>
          <cell r="P41"/>
          <cell r="Q41"/>
          <cell r="R41">
            <v>1</v>
          </cell>
          <cell r="S41">
            <v>1</v>
          </cell>
          <cell r="T41">
            <v>80</v>
          </cell>
          <cell r="U41">
            <v>40</v>
          </cell>
          <cell r="V41" t="str">
            <v>B</v>
          </cell>
          <cell r="W41">
            <v>500</v>
          </cell>
          <cell r="X41">
            <v>10</v>
          </cell>
          <cell r="Y41">
            <v>20</v>
          </cell>
          <cell r="Z41">
            <v>40</v>
          </cell>
          <cell r="AA41">
            <v>16</v>
          </cell>
          <cell r="AB41">
            <v>0.6</v>
          </cell>
          <cell r="AC41">
            <v>22</v>
          </cell>
          <cell r="AD41">
            <v>3.1987125200186983E-2</v>
          </cell>
          <cell r="AE41">
            <v>105.33333333333333</v>
          </cell>
          <cell r="AF41">
            <v>97.263157894736835</v>
          </cell>
          <cell r="AG41"/>
        </row>
        <row r="42">
          <cell r="A42" t="str">
            <v>Shear Throw Allowance</v>
          </cell>
          <cell r="B42">
            <v>33</v>
          </cell>
          <cell r="F42" t="str">
            <v>L33</v>
          </cell>
          <cell r="G42">
            <v>142.27000000000001</v>
          </cell>
          <cell r="H42">
            <v>4.3999999999999773</v>
          </cell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  <cell r="AG42"/>
        </row>
        <row r="43">
          <cell r="A43" t="str">
            <v>LL Reduction Factor</v>
          </cell>
          <cell r="B43">
            <v>23</v>
          </cell>
          <cell r="F43" t="str">
            <v>L32</v>
          </cell>
          <cell r="G43">
            <v>138.4</v>
          </cell>
          <cell r="H43">
            <v>3.8700000000000045</v>
          </cell>
          <cell r="M43" t="str">
            <v>3000x1000B</v>
          </cell>
          <cell r="N43">
            <v>3000</v>
          </cell>
          <cell r="O43">
            <v>1000</v>
          </cell>
          <cell r="P43"/>
          <cell r="Q43"/>
          <cell r="R43">
            <v>1</v>
          </cell>
          <cell r="S43">
            <v>1</v>
          </cell>
          <cell r="T43">
            <v>80</v>
          </cell>
          <cell r="U43">
            <v>40</v>
          </cell>
          <cell r="V43" t="str">
            <v>B</v>
          </cell>
          <cell r="W43">
            <v>500</v>
          </cell>
          <cell r="X43">
            <v>7</v>
          </cell>
          <cell r="Y43">
            <v>28</v>
          </cell>
          <cell r="Z43">
            <v>40</v>
          </cell>
          <cell r="AA43">
            <v>12</v>
          </cell>
          <cell r="AB43">
            <v>0.6</v>
          </cell>
          <cell r="AC43">
            <v>17</v>
          </cell>
          <cell r="AD43">
            <v>2.764601535159018E-2</v>
          </cell>
          <cell r="AE43">
            <v>142.66666666666666</v>
          </cell>
          <cell r="AF43">
            <v>105.77777777777777</v>
          </cell>
          <cell r="AG43"/>
        </row>
        <row r="44">
          <cell r="A44" t="str">
            <v>Floor DL</v>
          </cell>
          <cell r="B44">
            <v>34</v>
          </cell>
          <cell r="F44" t="str">
            <v>L31</v>
          </cell>
          <cell r="G44">
            <v>134.53</v>
          </cell>
          <cell r="H44">
            <v>3.8700000000000045</v>
          </cell>
          <cell r="M44" t="str">
            <v>2400x900B</v>
          </cell>
          <cell r="N44">
            <v>2400</v>
          </cell>
          <cell r="O44">
            <v>900</v>
          </cell>
          <cell r="P44"/>
          <cell r="Q44"/>
          <cell r="R44">
            <v>1</v>
          </cell>
          <cell r="S44">
            <v>1</v>
          </cell>
          <cell r="T44">
            <v>80</v>
          </cell>
          <cell r="U44">
            <v>40</v>
          </cell>
          <cell r="V44" t="str">
            <v>B</v>
          </cell>
          <cell r="W44">
            <v>500</v>
          </cell>
          <cell r="X44">
            <v>6</v>
          </cell>
          <cell r="Y44">
            <v>25</v>
          </cell>
          <cell r="Z44">
            <v>40</v>
          </cell>
          <cell r="AA44">
            <v>12</v>
          </cell>
          <cell r="AB44">
            <v>0.6</v>
          </cell>
          <cell r="AC44">
            <v>17</v>
          </cell>
          <cell r="AD44">
            <v>3.3743032205223705E-2</v>
          </cell>
          <cell r="AE44">
            <v>151.19999999999999</v>
          </cell>
          <cell r="AF44">
            <v>94</v>
          </cell>
          <cell r="AG44"/>
        </row>
        <row r="45">
          <cell r="A45" t="str">
            <v>Floor Non Red. LL</v>
          </cell>
          <cell r="B45">
            <v>35</v>
          </cell>
          <cell r="F45" t="str">
            <v>L30</v>
          </cell>
          <cell r="G45">
            <v>130.13</v>
          </cell>
          <cell r="H45">
            <v>4.4000000000000057</v>
          </cell>
          <cell r="M45" t="str">
            <v>2400x900A</v>
          </cell>
          <cell r="N45">
            <v>2400</v>
          </cell>
          <cell r="O45">
            <v>900</v>
          </cell>
          <cell r="P45"/>
          <cell r="Q45"/>
          <cell r="R45">
            <v>1</v>
          </cell>
          <cell r="S45">
            <v>1</v>
          </cell>
          <cell r="T45">
            <v>80</v>
          </cell>
          <cell r="U45">
            <v>40</v>
          </cell>
          <cell r="V45" t="str">
            <v>B</v>
          </cell>
          <cell r="W45">
            <v>500</v>
          </cell>
          <cell r="X45">
            <v>6</v>
          </cell>
          <cell r="Y45">
            <v>17</v>
          </cell>
          <cell r="Z45">
            <v>40</v>
          </cell>
          <cell r="AA45">
            <v>12</v>
          </cell>
          <cell r="AB45">
            <v>0.6</v>
          </cell>
          <cell r="AC45">
            <v>17</v>
          </cell>
          <cell r="AD45">
            <v>2.4434609527920616E-2</v>
          </cell>
          <cell r="AE45">
            <v>151.19999999999999</v>
          </cell>
          <cell r="AF45">
            <v>141</v>
          </cell>
          <cell r="AG45"/>
        </row>
        <row r="46">
          <cell r="A46" t="str">
            <v>Floor Red. LL</v>
          </cell>
          <cell r="B46">
            <v>36</v>
          </cell>
          <cell r="F46" t="str">
            <v>L29</v>
          </cell>
          <cell r="G46">
            <v>126.26</v>
          </cell>
          <cell r="H46">
            <v>3.8699999999999903</v>
          </cell>
          <cell r="M46" t="str">
            <v>2400x800B</v>
          </cell>
          <cell r="N46">
            <v>2400</v>
          </cell>
          <cell r="O46">
            <v>800</v>
          </cell>
          <cell r="P46"/>
          <cell r="Q46"/>
          <cell r="R46">
            <v>1</v>
          </cell>
          <cell r="S46">
            <v>1</v>
          </cell>
          <cell r="T46">
            <v>80</v>
          </cell>
          <cell r="U46">
            <v>40</v>
          </cell>
          <cell r="V46" t="str">
            <v>B</v>
          </cell>
          <cell r="W46">
            <v>500</v>
          </cell>
          <cell r="X46">
            <v>5</v>
          </cell>
          <cell r="Y46">
            <v>22</v>
          </cell>
          <cell r="Z46">
            <v>40</v>
          </cell>
          <cell r="AA46">
            <v>12</v>
          </cell>
          <cell r="AB46">
            <v>0.6</v>
          </cell>
          <cell r="AC46">
            <v>17</v>
          </cell>
          <cell r="AD46">
            <v>3.2724923474893676E-2</v>
          </cell>
          <cell r="AE46">
            <v>164</v>
          </cell>
          <cell r="AF46">
            <v>107.42857142857143</v>
          </cell>
          <cell r="AG46"/>
        </row>
        <row r="47">
          <cell r="A47" t="str">
            <v>Total DL</v>
          </cell>
          <cell r="B47">
            <v>37</v>
          </cell>
          <cell r="F47" t="str">
            <v>L28</v>
          </cell>
          <cell r="G47">
            <v>122.39</v>
          </cell>
          <cell r="H47">
            <v>3.8700000000000045</v>
          </cell>
          <cell r="M47" t="str">
            <v>2400x800A</v>
          </cell>
          <cell r="N47">
            <v>2400</v>
          </cell>
          <cell r="O47">
            <v>800</v>
          </cell>
          <cell r="P47"/>
          <cell r="Q47"/>
          <cell r="R47">
            <v>1</v>
          </cell>
          <cell r="S47">
            <v>1</v>
          </cell>
          <cell r="T47">
            <v>80</v>
          </cell>
          <cell r="U47">
            <v>40</v>
          </cell>
          <cell r="V47" t="str">
            <v>B</v>
          </cell>
          <cell r="W47">
            <v>500</v>
          </cell>
          <cell r="X47">
            <v>5</v>
          </cell>
          <cell r="Y47">
            <v>15</v>
          </cell>
          <cell r="Z47">
            <v>40</v>
          </cell>
          <cell r="AA47">
            <v>12</v>
          </cell>
          <cell r="AB47">
            <v>0.6</v>
          </cell>
          <cell r="AC47">
            <v>17</v>
          </cell>
          <cell r="AD47">
            <v>2.3561944901923447E-2</v>
          </cell>
          <cell r="AE47">
            <v>164</v>
          </cell>
          <cell r="AF47">
            <v>161.14285714285714</v>
          </cell>
          <cell r="AG47"/>
        </row>
        <row r="48">
          <cell r="A48" t="str">
            <v>Total Non. Red. LL</v>
          </cell>
          <cell r="B48">
            <v>38</v>
          </cell>
          <cell r="F48" t="str">
            <v>L27</v>
          </cell>
          <cell r="G48">
            <v>118.52</v>
          </cell>
          <cell r="H48">
            <v>3.8700000000000045</v>
          </cell>
          <cell r="M48" t="str">
            <v>2400x700B</v>
          </cell>
          <cell r="N48">
            <v>2400</v>
          </cell>
          <cell r="O48">
            <v>700</v>
          </cell>
          <cell r="P48"/>
          <cell r="Q48"/>
          <cell r="R48">
            <v>1</v>
          </cell>
          <cell r="S48">
            <v>1</v>
          </cell>
          <cell r="T48">
            <v>80</v>
          </cell>
          <cell r="U48">
            <v>40</v>
          </cell>
          <cell r="V48" t="str">
            <v>B</v>
          </cell>
          <cell r="W48">
            <v>500</v>
          </cell>
          <cell r="X48">
            <v>4</v>
          </cell>
          <cell r="Y48">
            <v>20</v>
          </cell>
          <cell r="Z48">
            <v>40</v>
          </cell>
          <cell r="AA48">
            <v>12</v>
          </cell>
          <cell r="AB48">
            <v>0.6</v>
          </cell>
          <cell r="AC48">
            <v>17</v>
          </cell>
          <cell r="AD48">
            <v>3.291192303760735E-2</v>
          </cell>
          <cell r="AE48">
            <v>185.33333333333334</v>
          </cell>
          <cell r="AF48">
            <v>118.73684210526316</v>
          </cell>
          <cell r="AG48"/>
        </row>
        <row r="49">
          <cell r="A49" t="str">
            <v>Total Red. LL</v>
          </cell>
          <cell r="B49">
            <v>39</v>
          </cell>
          <cell r="F49" t="str">
            <v>L26</v>
          </cell>
          <cell r="G49">
            <v>114.65</v>
          </cell>
          <cell r="H49">
            <v>3.8699999999999903</v>
          </cell>
          <cell r="M49" t="str">
            <v>2400x700A</v>
          </cell>
          <cell r="N49">
            <v>2400</v>
          </cell>
          <cell r="O49">
            <v>700</v>
          </cell>
          <cell r="P49"/>
          <cell r="Q49"/>
          <cell r="R49">
            <v>1</v>
          </cell>
          <cell r="S49">
            <v>1</v>
          </cell>
          <cell r="T49">
            <v>80</v>
          </cell>
          <cell r="U49">
            <v>40</v>
          </cell>
          <cell r="V49" t="str">
            <v>B</v>
          </cell>
          <cell r="W49">
            <v>500</v>
          </cell>
          <cell r="X49">
            <v>4</v>
          </cell>
          <cell r="Y49">
            <v>14</v>
          </cell>
          <cell r="Z49">
            <v>40</v>
          </cell>
          <cell r="AA49">
            <v>16</v>
          </cell>
          <cell r="AB49">
            <v>0.6</v>
          </cell>
          <cell r="AC49" t="str">
            <v>TBC</v>
          </cell>
          <cell r="AD49">
            <v>2.3935944027350806E-2</v>
          </cell>
          <cell r="AE49">
            <v>182.66666666666666</v>
          </cell>
          <cell r="AF49">
            <v>172.92307692307693</v>
          </cell>
          <cell r="AG49"/>
        </row>
        <row r="50">
          <cell r="A50" t="str">
            <v>Total LL</v>
          </cell>
          <cell r="B50">
            <v>40</v>
          </cell>
          <cell r="F50" t="str">
            <v>L25</v>
          </cell>
          <cell r="G50">
            <v>110.78</v>
          </cell>
          <cell r="H50">
            <v>3.8700000000000045</v>
          </cell>
          <cell r="M50" t="str">
            <v>2400x600B</v>
          </cell>
          <cell r="N50">
            <v>2400</v>
          </cell>
          <cell r="O50">
            <v>600</v>
          </cell>
          <cell r="P50"/>
          <cell r="Q50"/>
          <cell r="R50">
            <v>1</v>
          </cell>
          <cell r="S50">
            <v>1</v>
          </cell>
          <cell r="T50">
            <v>80</v>
          </cell>
          <cell r="U50">
            <v>40</v>
          </cell>
          <cell r="V50" t="str">
            <v>B</v>
          </cell>
          <cell r="W50">
            <v>500</v>
          </cell>
          <cell r="X50">
            <v>4</v>
          </cell>
          <cell r="Y50">
            <v>17</v>
          </cell>
          <cell r="Z50">
            <v>40</v>
          </cell>
          <cell r="AA50">
            <v>16</v>
          </cell>
          <cell r="AB50">
            <v>0.6</v>
          </cell>
          <cell r="AC50">
            <v>31</v>
          </cell>
          <cell r="AD50">
            <v>3.3161255787892259E-2</v>
          </cell>
          <cell r="AE50">
            <v>149.33333333333334</v>
          </cell>
          <cell r="AF50">
            <v>140.5</v>
          </cell>
          <cell r="AG50"/>
        </row>
        <row r="51">
          <cell r="A51" t="str">
            <v>Total Working Load</v>
          </cell>
          <cell r="B51">
            <v>41</v>
          </cell>
          <cell r="F51" t="str">
            <v>L24</v>
          </cell>
          <cell r="G51">
            <v>106.91</v>
          </cell>
          <cell r="H51">
            <v>3.8700000000000045</v>
          </cell>
          <cell r="M51" t="str">
            <v>2400x600A</v>
          </cell>
          <cell r="N51">
            <v>2400</v>
          </cell>
          <cell r="O51">
            <v>600</v>
          </cell>
          <cell r="P51"/>
          <cell r="Q51"/>
          <cell r="R51">
            <v>1</v>
          </cell>
          <cell r="S51">
            <v>1</v>
          </cell>
          <cell r="T51">
            <v>80</v>
          </cell>
          <cell r="U51">
            <v>40</v>
          </cell>
          <cell r="V51" t="str">
            <v>B</v>
          </cell>
          <cell r="W51">
            <v>500</v>
          </cell>
          <cell r="X51">
            <v>4</v>
          </cell>
          <cell r="Y51">
            <v>12</v>
          </cell>
          <cell r="Z51">
            <v>40</v>
          </cell>
          <cell r="AA51">
            <v>16</v>
          </cell>
          <cell r="AB51">
            <v>0.6</v>
          </cell>
          <cell r="AC51">
            <v>29</v>
          </cell>
          <cell r="AD51">
            <v>2.443460952792061E-2</v>
          </cell>
          <cell r="AE51">
            <v>149.33333333333334</v>
          </cell>
          <cell r="AF51">
            <v>204.36363636363637</v>
          </cell>
          <cell r="AG51"/>
        </row>
        <row r="52">
          <cell r="A52" t="str">
            <v>Total Ultimate Load</v>
          </cell>
          <cell r="B52">
            <v>42</v>
          </cell>
          <cell r="F52" t="str">
            <v>L23</v>
          </cell>
          <cell r="G52">
            <v>103.04</v>
          </cell>
          <cell r="H52">
            <v>3.8699999999999903</v>
          </cell>
          <cell r="M52" t="str">
            <v>2400x500B</v>
          </cell>
          <cell r="N52">
            <v>2400</v>
          </cell>
          <cell r="O52">
            <v>500</v>
          </cell>
          <cell r="P52"/>
          <cell r="Q52"/>
          <cell r="R52">
            <v>1</v>
          </cell>
          <cell r="S52">
            <v>1</v>
          </cell>
          <cell r="T52">
            <v>80</v>
          </cell>
          <cell r="U52">
            <v>40</v>
          </cell>
          <cell r="V52" t="str">
            <v>B</v>
          </cell>
          <cell r="W52">
            <v>500</v>
          </cell>
          <cell r="X52">
            <v>3</v>
          </cell>
          <cell r="Y52">
            <v>15</v>
          </cell>
          <cell r="Z52">
            <v>40</v>
          </cell>
          <cell r="AA52">
            <v>16</v>
          </cell>
          <cell r="AB52">
            <v>0.6</v>
          </cell>
          <cell r="AC52" t="str">
            <v>TBC</v>
          </cell>
          <cell r="AD52">
            <v>3.3510321638291131E-2</v>
          </cell>
          <cell r="AE52">
            <v>174</v>
          </cell>
          <cell r="AF52">
            <v>160.57142857142858</v>
          </cell>
          <cell r="AG52"/>
        </row>
        <row r="53">
          <cell r="A53" t="str">
            <v>Design Group</v>
          </cell>
          <cell r="B53">
            <v>44</v>
          </cell>
          <cell r="F53" t="str">
            <v>L22</v>
          </cell>
          <cell r="G53">
            <v>99.17</v>
          </cell>
          <cell r="H53">
            <v>3.8700000000000045</v>
          </cell>
          <cell r="M53" t="str">
            <v>2400x500A</v>
          </cell>
          <cell r="N53">
            <v>2400</v>
          </cell>
          <cell r="O53">
            <v>500</v>
          </cell>
          <cell r="P53"/>
          <cell r="Q53"/>
          <cell r="R53">
            <v>1</v>
          </cell>
          <cell r="S53">
            <v>1</v>
          </cell>
          <cell r="T53">
            <v>80</v>
          </cell>
          <cell r="U53">
            <v>40</v>
          </cell>
          <cell r="V53" t="str">
            <v>B</v>
          </cell>
          <cell r="W53">
            <v>500</v>
          </cell>
          <cell r="X53">
            <v>3</v>
          </cell>
          <cell r="Y53">
            <v>18</v>
          </cell>
          <cell r="Z53">
            <v>32</v>
          </cell>
          <cell r="AA53">
            <v>16</v>
          </cell>
          <cell r="AB53">
            <v>0.6</v>
          </cell>
          <cell r="AC53">
            <v>17</v>
          </cell>
          <cell r="AD53">
            <v>2.5467844445101254E-2</v>
          </cell>
          <cell r="AE53">
            <v>178</v>
          </cell>
          <cell r="AF53">
            <v>132.70588235294119</v>
          </cell>
          <cell r="AG53"/>
        </row>
        <row r="54">
          <cell r="A54" t="str">
            <v>Depth</v>
          </cell>
          <cell r="B54">
            <v>7</v>
          </cell>
          <cell r="F54" t="str">
            <v>L21</v>
          </cell>
          <cell r="G54">
            <v>95.3</v>
          </cell>
          <cell r="H54">
            <v>3.8700000000000045</v>
          </cell>
          <cell r="M54" t="str">
            <v>2400x400B</v>
          </cell>
          <cell r="N54">
            <v>2400</v>
          </cell>
          <cell r="O54">
            <v>400</v>
          </cell>
          <cell r="P54"/>
          <cell r="Q54"/>
          <cell r="R54">
            <v>1</v>
          </cell>
          <cell r="S54">
            <v>1</v>
          </cell>
          <cell r="T54">
            <v>80</v>
          </cell>
          <cell r="U54">
            <v>40</v>
          </cell>
          <cell r="V54" t="str">
            <v>B</v>
          </cell>
          <cell r="W54">
            <v>500</v>
          </cell>
          <cell r="X54">
            <v>3</v>
          </cell>
          <cell r="Y54">
            <v>28</v>
          </cell>
          <cell r="Z54">
            <v>28</v>
          </cell>
          <cell r="AA54">
            <v>16</v>
          </cell>
          <cell r="AB54">
            <v>0.6</v>
          </cell>
          <cell r="AC54">
            <v>17</v>
          </cell>
          <cell r="AD54">
            <v>3.7201693006259133E-2</v>
          </cell>
          <cell r="AE54">
            <v>130</v>
          </cell>
          <cell r="AF54">
            <v>83.703703703703709</v>
          </cell>
          <cell r="AG54"/>
        </row>
        <row r="55">
          <cell r="A55" t="str">
            <v>Width</v>
          </cell>
          <cell r="B55">
            <v>8</v>
          </cell>
          <cell r="F55" t="str">
            <v>L20</v>
          </cell>
          <cell r="G55">
            <v>91.43</v>
          </cell>
          <cell r="H55">
            <v>3.8699999999999903</v>
          </cell>
          <cell r="M55" t="str">
            <v>2400x400A</v>
          </cell>
          <cell r="N55">
            <v>2400</v>
          </cell>
          <cell r="O55">
            <v>400</v>
          </cell>
          <cell r="P55"/>
          <cell r="Q55"/>
          <cell r="R55">
            <v>1</v>
          </cell>
          <cell r="S55">
            <v>1</v>
          </cell>
          <cell r="T55">
            <v>80</v>
          </cell>
          <cell r="U55">
            <v>40</v>
          </cell>
          <cell r="V55" t="str">
            <v>B</v>
          </cell>
          <cell r="W55">
            <v>500</v>
          </cell>
          <cell r="X55">
            <v>3</v>
          </cell>
          <cell r="Y55">
            <v>13</v>
          </cell>
          <cell r="Z55">
            <v>32</v>
          </cell>
          <cell r="AA55">
            <v>16</v>
          </cell>
          <cell r="AB55">
            <v>0.6</v>
          </cell>
          <cell r="AC55">
            <v>17</v>
          </cell>
          <cell r="AD55">
            <v>2.345722514680379E-2</v>
          </cell>
          <cell r="AE55">
            <v>128</v>
          </cell>
          <cell r="AF55">
            <v>188</v>
          </cell>
          <cell r="AG55"/>
        </row>
        <row r="56">
          <cell r="A56" t="str">
            <v>lux</v>
          </cell>
          <cell r="B56">
            <v>45</v>
          </cell>
          <cell r="F56" t="str">
            <v>L19M</v>
          </cell>
          <cell r="G56">
            <v>87.56</v>
          </cell>
          <cell r="H56">
            <v>3.8700000000000045</v>
          </cell>
          <cell r="M56" t="str">
            <v>2400x300B</v>
          </cell>
          <cell r="N56">
            <v>2400</v>
          </cell>
          <cell r="O56">
            <v>300</v>
          </cell>
          <cell r="P56"/>
          <cell r="Q56"/>
          <cell r="R56">
            <v>1</v>
          </cell>
          <cell r="S56">
            <v>1</v>
          </cell>
          <cell r="T56">
            <v>80</v>
          </cell>
          <cell r="U56">
            <v>40</v>
          </cell>
          <cell r="V56" t="str">
            <v>B</v>
          </cell>
          <cell r="W56">
            <v>500</v>
          </cell>
          <cell r="X56">
            <v>2</v>
          </cell>
          <cell r="Y56">
            <v>15</v>
          </cell>
          <cell r="Z56">
            <v>32</v>
          </cell>
          <cell r="AA56">
            <v>16</v>
          </cell>
          <cell r="AB56">
            <v>0.6</v>
          </cell>
          <cell r="AC56">
            <v>56</v>
          </cell>
          <cell r="AD56">
            <v>3.3510321638291124E-2</v>
          </cell>
          <cell r="AE56">
            <v>156</v>
          </cell>
          <cell r="AF56">
            <v>161.14285714285714</v>
          </cell>
          <cell r="AG56"/>
        </row>
        <row r="57">
          <cell r="A57" t="str">
            <v>luy</v>
          </cell>
          <cell r="B57">
            <v>46</v>
          </cell>
          <cell r="F57" t="str">
            <v>L19</v>
          </cell>
          <cell r="G57">
            <v>83.69</v>
          </cell>
          <cell r="H57">
            <v>3.8700000000000045</v>
          </cell>
          <cell r="M57" t="str">
            <v>2400x300A</v>
          </cell>
          <cell r="N57">
            <v>2400</v>
          </cell>
          <cell r="O57">
            <v>300</v>
          </cell>
          <cell r="P57"/>
          <cell r="Q57"/>
          <cell r="R57">
            <v>1</v>
          </cell>
          <cell r="S57">
            <v>1</v>
          </cell>
          <cell r="T57">
            <v>80</v>
          </cell>
          <cell r="U57">
            <v>40</v>
          </cell>
          <cell r="V57" t="str">
            <v>B</v>
          </cell>
          <cell r="W57">
            <v>500</v>
          </cell>
          <cell r="X57">
            <v>2</v>
          </cell>
          <cell r="Y57">
            <v>15</v>
          </cell>
          <cell r="Z57">
            <v>28</v>
          </cell>
          <cell r="AA57">
            <v>16</v>
          </cell>
          <cell r="AB57">
            <v>0.6</v>
          </cell>
          <cell r="AC57">
            <v>56</v>
          </cell>
          <cell r="AD57">
            <v>2.5656340004316644E-2</v>
          </cell>
          <cell r="AE57">
            <v>160</v>
          </cell>
          <cell r="AF57">
            <v>161.42857142857142</v>
          </cell>
          <cell r="AG57"/>
        </row>
        <row r="58">
          <cell r="A58" t="str">
            <v>kex</v>
          </cell>
          <cell r="B58">
            <v>47</v>
          </cell>
          <cell r="F58" t="str">
            <v>L18</v>
          </cell>
          <cell r="G58">
            <v>79.290000000000006</v>
          </cell>
          <cell r="H58">
            <v>4.3999999999999915</v>
          </cell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</row>
        <row r="59">
          <cell r="A59" t="str">
            <v>key</v>
          </cell>
          <cell r="B59">
            <v>48</v>
          </cell>
          <cell r="F59" t="str">
            <v>L17</v>
          </cell>
          <cell r="G59">
            <v>74.89</v>
          </cell>
          <cell r="H59">
            <v>4.4000000000000057</v>
          </cell>
          <cell r="M59" t="str">
            <v>3500x900B</v>
          </cell>
          <cell r="N59">
            <v>3500</v>
          </cell>
          <cell r="O59">
            <v>1000</v>
          </cell>
          <cell r="P59"/>
          <cell r="Q59"/>
          <cell r="R59">
            <v>1</v>
          </cell>
          <cell r="S59">
            <v>1</v>
          </cell>
          <cell r="T59">
            <v>80</v>
          </cell>
          <cell r="U59">
            <v>40</v>
          </cell>
          <cell r="V59" t="str">
            <v>B</v>
          </cell>
          <cell r="W59">
            <v>500</v>
          </cell>
          <cell r="X59">
            <v>33</v>
          </cell>
          <cell r="Y59">
            <v>17</v>
          </cell>
          <cell r="Z59">
            <v>40</v>
          </cell>
          <cell r="AA59">
            <v>16</v>
          </cell>
          <cell r="AB59">
            <v>0.6</v>
          </cell>
          <cell r="AC59">
            <v>56</v>
          </cell>
          <cell r="AD59">
            <v>3.4467759399385157E-2</v>
          </cell>
          <cell r="AE59">
            <v>26.5</v>
          </cell>
          <cell r="AF59">
            <v>209.25</v>
          </cell>
          <cell r="AG59"/>
        </row>
        <row r="60">
          <cell r="A60" t="str">
            <v>f'c</v>
          </cell>
          <cell r="B60">
            <v>49</v>
          </cell>
          <cell r="F60" t="str">
            <v>L16</v>
          </cell>
          <cell r="G60">
            <v>71.02</v>
          </cell>
          <cell r="H60">
            <v>3.8700000000000045</v>
          </cell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</row>
        <row r="61">
          <cell r="A61" t="str">
            <v>Cover</v>
          </cell>
          <cell r="B61">
            <v>50</v>
          </cell>
          <cell r="F61" t="str">
            <v>L15</v>
          </cell>
          <cell r="G61">
            <v>67.150000000000006</v>
          </cell>
          <cell r="H61">
            <v>3.8699999999999903</v>
          </cell>
          <cell r="M61" t="str">
            <v>1800x700</v>
          </cell>
          <cell r="N61">
            <v>1800</v>
          </cell>
          <cell r="O61">
            <v>700</v>
          </cell>
          <cell r="P61"/>
          <cell r="Q61"/>
          <cell r="R61">
            <v>1</v>
          </cell>
          <cell r="S61">
            <v>1</v>
          </cell>
          <cell r="T61">
            <v>80</v>
          </cell>
          <cell r="U61">
            <v>40</v>
          </cell>
          <cell r="V61" t="str">
            <v>B</v>
          </cell>
          <cell r="W61">
            <v>500</v>
          </cell>
          <cell r="X61">
            <v>13</v>
          </cell>
          <cell r="Y61">
            <v>5</v>
          </cell>
          <cell r="Z61">
            <v>40</v>
          </cell>
          <cell r="AA61">
            <v>16</v>
          </cell>
          <cell r="AB61">
            <v>0.6</v>
          </cell>
          <cell r="AC61">
            <v>56</v>
          </cell>
          <cell r="AD61">
            <v>3.1914592036467744E-2</v>
          </cell>
          <cell r="AE61">
            <v>45.666666666666664</v>
          </cell>
          <cell r="AF61">
            <v>412</v>
          </cell>
          <cell r="AG61"/>
        </row>
        <row r="62">
          <cell r="A62" t="str">
            <v>B/UB</v>
          </cell>
          <cell r="B62">
            <v>51</v>
          </cell>
          <cell r="F62" t="str">
            <v>L14</v>
          </cell>
          <cell r="G62">
            <v>63.28</v>
          </cell>
          <cell r="H62">
            <v>3.8700000000000045</v>
          </cell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</row>
        <row r="63">
          <cell r="A63" t="str">
            <v>fsy</v>
          </cell>
          <cell r="B63">
            <v>52</v>
          </cell>
          <cell r="F63" t="str">
            <v>L13</v>
          </cell>
          <cell r="G63">
            <v>59.41</v>
          </cell>
          <cell r="H63">
            <v>3.8700000000000045</v>
          </cell>
          <cell r="M63" t="str">
            <v>2100x350A</v>
          </cell>
          <cell r="N63">
            <v>2100</v>
          </cell>
          <cell r="O63">
            <v>350</v>
          </cell>
          <cell r="P63"/>
          <cell r="Q63"/>
          <cell r="R63">
            <v>1</v>
          </cell>
          <cell r="S63">
            <v>1</v>
          </cell>
          <cell r="T63">
            <v>80</v>
          </cell>
          <cell r="U63">
            <v>40</v>
          </cell>
          <cell r="V63" t="str">
            <v>B</v>
          </cell>
          <cell r="W63">
            <v>500</v>
          </cell>
          <cell r="X63">
            <v>16</v>
          </cell>
          <cell r="Y63">
            <v>2</v>
          </cell>
          <cell r="Z63">
            <v>28</v>
          </cell>
          <cell r="AA63">
            <v>16</v>
          </cell>
          <cell r="AB63">
            <v>0.6</v>
          </cell>
          <cell r="AC63">
            <v>56</v>
          </cell>
          <cell r="AD63">
            <v>2.68082573106329E-2</v>
          </cell>
          <cell r="AE63">
            <v>14</v>
          </cell>
          <cell r="AF63">
            <v>1960</v>
          </cell>
          <cell r="AG63"/>
        </row>
        <row r="64">
          <cell r="A64" t="str">
            <v>N1</v>
          </cell>
          <cell r="B64">
            <v>53</v>
          </cell>
          <cell r="F64" t="str">
            <v>L12</v>
          </cell>
          <cell r="G64">
            <v>55.54</v>
          </cell>
          <cell r="H64">
            <v>3.8699999999999974</v>
          </cell>
          <cell r="M64" t="str">
            <v>2100x300A</v>
          </cell>
          <cell r="N64">
            <v>2100</v>
          </cell>
          <cell r="O64">
            <v>300</v>
          </cell>
          <cell r="P64"/>
          <cell r="Q64"/>
          <cell r="R64">
            <v>1</v>
          </cell>
          <cell r="S64">
            <v>1</v>
          </cell>
          <cell r="T64">
            <v>80</v>
          </cell>
          <cell r="U64">
            <v>40</v>
          </cell>
          <cell r="V64" t="str">
            <v>B</v>
          </cell>
          <cell r="W64">
            <v>500</v>
          </cell>
          <cell r="X64">
            <v>14</v>
          </cell>
          <cell r="Y64">
            <v>2</v>
          </cell>
          <cell r="Z64">
            <v>28</v>
          </cell>
          <cell r="AA64">
            <v>16</v>
          </cell>
          <cell r="AB64">
            <v>0.6</v>
          </cell>
          <cell r="AC64">
            <v>56</v>
          </cell>
          <cell r="AD64">
            <v>2.736676267127109E-2</v>
          </cell>
          <cell r="AE64">
            <v>12.307692307692308</v>
          </cell>
          <cell r="AF64">
            <v>1960</v>
          </cell>
          <cell r="AG64"/>
        </row>
        <row r="65">
          <cell r="A65" t="str">
            <v>N2</v>
          </cell>
          <cell r="B65">
            <v>54</v>
          </cell>
          <cell r="F65" t="str">
            <v>L11</v>
          </cell>
          <cell r="G65">
            <v>51.67</v>
          </cell>
          <cell r="H65">
            <v>3.8699999999999974</v>
          </cell>
          <cell r="M65" t="str">
            <v>2100x400A</v>
          </cell>
          <cell r="N65">
            <v>2100</v>
          </cell>
          <cell r="O65">
            <v>400</v>
          </cell>
          <cell r="P65"/>
          <cell r="Q65"/>
          <cell r="R65">
            <v>1</v>
          </cell>
          <cell r="S65">
            <v>1</v>
          </cell>
          <cell r="T65">
            <v>80</v>
          </cell>
          <cell r="U65">
            <v>40</v>
          </cell>
          <cell r="V65" t="str">
            <v>B</v>
          </cell>
          <cell r="W65">
            <v>500</v>
          </cell>
          <cell r="X65">
            <v>19</v>
          </cell>
          <cell r="Y65">
            <v>2</v>
          </cell>
          <cell r="Z65">
            <v>28</v>
          </cell>
          <cell r="AA65">
            <v>16</v>
          </cell>
          <cell r="AB65">
            <v>0.6</v>
          </cell>
          <cell r="AC65">
            <v>56</v>
          </cell>
          <cell r="AD65">
            <v>2.7855454861829495E-2</v>
          </cell>
          <cell r="AE65">
            <v>14.444444444444445</v>
          </cell>
          <cell r="AF65">
            <v>1960</v>
          </cell>
          <cell r="AG65"/>
        </row>
        <row r="66">
          <cell r="A66" t="str">
            <v>db</v>
          </cell>
          <cell r="B66">
            <v>55</v>
          </cell>
          <cell r="F66" t="str">
            <v>L10</v>
          </cell>
          <cell r="G66">
            <v>47.8</v>
          </cell>
          <cell r="H66">
            <v>3.8700000000000045</v>
          </cell>
          <cell r="M66" t="str">
            <v>2100x450A</v>
          </cell>
          <cell r="N66">
            <v>2100</v>
          </cell>
          <cell r="O66">
            <v>450</v>
          </cell>
          <cell r="P66"/>
          <cell r="Q66"/>
          <cell r="R66">
            <v>1</v>
          </cell>
          <cell r="S66">
            <v>1</v>
          </cell>
          <cell r="T66">
            <v>80</v>
          </cell>
          <cell r="U66">
            <v>40</v>
          </cell>
          <cell r="V66" t="str">
            <v>B</v>
          </cell>
          <cell r="W66">
            <v>500</v>
          </cell>
          <cell r="X66">
            <v>15</v>
          </cell>
          <cell r="Y66">
            <v>2</v>
          </cell>
          <cell r="Z66">
            <v>32</v>
          </cell>
          <cell r="AA66">
            <v>16</v>
          </cell>
          <cell r="AB66">
            <v>0.6</v>
          </cell>
          <cell r="AC66">
            <v>17</v>
          </cell>
          <cell r="AD66">
            <v>2.553167362917419E-2</v>
          </cell>
          <cell r="AE66">
            <v>21.857142857142858</v>
          </cell>
          <cell r="AF66">
            <v>1956</v>
          </cell>
          <cell r="AG66"/>
        </row>
        <row r="67">
          <cell r="A67" t="str">
            <v>dtb</v>
          </cell>
          <cell r="B67">
            <v>56</v>
          </cell>
          <cell r="F67" t="str">
            <v>L9</v>
          </cell>
          <cell r="G67">
            <v>43.93</v>
          </cell>
          <cell r="H67">
            <v>3.8699999999999974</v>
          </cell>
          <cell r="M67" t="str">
            <v>2100x500A</v>
          </cell>
          <cell r="N67">
            <v>2100</v>
          </cell>
          <cell r="O67">
            <v>500</v>
          </cell>
          <cell r="P67"/>
          <cell r="Q67"/>
          <cell r="R67">
            <v>1</v>
          </cell>
          <cell r="S67">
            <v>1</v>
          </cell>
          <cell r="T67">
            <v>80</v>
          </cell>
          <cell r="U67">
            <v>40</v>
          </cell>
          <cell r="V67" t="str">
            <v>B</v>
          </cell>
          <cell r="W67">
            <v>500</v>
          </cell>
          <cell r="X67">
            <v>16</v>
          </cell>
          <cell r="Y67">
            <v>3</v>
          </cell>
          <cell r="Z67">
            <v>32</v>
          </cell>
          <cell r="AA67">
            <v>16</v>
          </cell>
          <cell r="AB67">
            <v>0.6</v>
          </cell>
          <cell r="AC67">
            <v>17</v>
          </cell>
          <cell r="AD67">
            <v>2.6042307101757676E-2</v>
          </cell>
          <cell r="AE67">
            <v>23.733333333333334</v>
          </cell>
          <cell r="AF67">
            <v>978</v>
          </cell>
          <cell r="AG67"/>
        </row>
        <row r="68">
          <cell r="A68" t="str">
            <v>yf</v>
          </cell>
          <cell r="B68">
            <v>57</v>
          </cell>
          <cell r="F68" t="str">
            <v>L8</v>
          </cell>
          <cell r="G68">
            <v>40.06</v>
          </cell>
          <cell r="H68">
            <v>3.8699999999999974</v>
          </cell>
          <cell r="M68" t="str">
            <v>2100x550A</v>
          </cell>
          <cell r="N68">
            <v>2100</v>
          </cell>
          <cell r="O68">
            <v>550</v>
          </cell>
          <cell r="P68"/>
          <cell r="Q68"/>
          <cell r="R68">
            <v>1</v>
          </cell>
          <cell r="S68">
            <v>1</v>
          </cell>
          <cell r="T68">
            <v>80</v>
          </cell>
          <cell r="U68">
            <v>40</v>
          </cell>
          <cell r="V68" t="str">
            <v>B</v>
          </cell>
          <cell r="W68">
            <v>500</v>
          </cell>
          <cell r="X68">
            <v>18</v>
          </cell>
          <cell r="Y68">
            <v>3</v>
          </cell>
          <cell r="Z68">
            <v>32</v>
          </cell>
          <cell r="AA68">
            <v>16</v>
          </cell>
          <cell r="AB68">
            <v>0.6</v>
          </cell>
          <cell r="AC68">
            <v>56</v>
          </cell>
          <cell r="AD68">
            <v>2.6460098124780524E-2</v>
          </cell>
          <cell r="AE68">
            <v>23.882352941176471</v>
          </cell>
          <cell r="AF68">
            <v>978</v>
          </cell>
          <cell r="AG68"/>
        </row>
        <row r="69">
          <cell r="A69" t="str">
            <v>Nb</v>
          </cell>
          <cell r="B69">
            <v>58</v>
          </cell>
          <cell r="F69" t="str">
            <v>L7</v>
          </cell>
          <cell r="G69">
            <v>36.19</v>
          </cell>
          <cell r="H69">
            <v>3.8700000000000045</v>
          </cell>
          <cell r="M69" t="str">
            <v>2100x550B</v>
          </cell>
          <cell r="N69">
            <v>2100</v>
          </cell>
          <cell r="O69">
            <v>550</v>
          </cell>
          <cell r="P69"/>
          <cell r="Q69"/>
          <cell r="R69">
            <v>1</v>
          </cell>
          <cell r="S69">
            <v>1</v>
          </cell>
          <cell r="T69">
            <v>80</v>
          </cell>
          <cell r="U69">
            <v>40</v>
          </cell>
          <cell r="V69" t="str">
            <v>B</v>
          </cell>
          <cell r="W69">
            <v>500</v>
          </cell>
          <cell r="X69">
            <v>19</v>
          </cell>
          <cell r="Y69">
            <v>3</v>
          </cell>
          <cell r="Z69">
            <v>36</v>
          </cell>
          <cell r="AA69">
            <v>16</v>
          </cell>
          <cell r="AB69">
            <v>0.6</v>
          </cell>
          <cell r="AC69">
            <v>17</v>
          </cell>
          <cell r="AD69">
            <v>3.5251117567553003E-2</v>
          </cell>
          <cell r="AE69">
            <v>22.333333333333332</v>
          </cell>
          <cell r="AF69">
            <v>976</v>
          </cell>
          <cell r="AG69"/>
        </row>
        <row r="70">
          <cell r="A70" t="str">
            <v>s1</v>
          </cell>
          <cell r="B70">
            <v>59</v>
          </cell>
          <cell r="F70" t="str">
            <v>L6</v>
          </cell>
          <cell r="G70">
            <v>32.32</v>
          </cell>
          <cell r="H70">
            <v>3.8699999999999974</v>
          </cell>
          <cell r="M70" t="str">
            <v>2100x600A</v>
          </cell>
          <cell r="N70">
            <v>2100</v>
          </cell>
          <cell r="O70">
            <v>600</v>
          </cell>
          <cell r="P70"/>
          <cell r="Q70"/>
          <cell r="R70">
            <v>1</v>
          </cell>
          <cell r="S70">
            <v>1</v>
          </cell>
          <cell r="T70">
            <v>80</v>
          </cell>
          <cell r="U70">
            <v>40</v>
          </cell>
          <cell r="V70" t="str">
            <v>B</v>
          </cell>
          <cell r="W70">
            <v>500</v>
          </cell>
          <cell r="X70">
            <v>14</v>
          </cell>
          <cell r="Y70">
            <v>4</v>
          </cell>
          <cell r="Z70">
            <v>36</v>
          </cell>
          <cell r="AA70">
            <v>16</v>
          </cell>
          <cell r="AB70">
            <v>0.6</v>
          </cell>
          <cell r="AC70">
            <v>22</v>
          </cell>
          <cell r="AD70">
            <v>2.5850819549538866E-2</v>
          </cell>
          <cell r="AE70">
            <v>34.769230769230766</v>
          </cell>
          <cell r="AF70">
            <v>650.66666666666663</v>
          </cell>
          <cell r="AG70"/>
        </row>
        <row r="71">
          <cell r="A71" t="str">
            <v>s2</v>
          </cell>
          <cell r="B71">
            <v>60</v>
          </cell>
          <cell r="F71" t="str">
            <v>L5</v>
          </cell>
          <cell r="G71">
            <v>28.45</v>
          </cell>
          <cell r="H71">
            <v>3.870000000000001</v>
          </cell>
          <cell r="M71" t="str">
            <v>2100x600B</v>
          </cell>
          <cell r="N71">
            <v>2100</v>
          </cell>
          <cell r="O71">
            <v>600</v>
          </cell>
          <cell r="P71"/>
          <cell r="Q71"/>
          <cell r="R71">
            <v>1</v>
          </cell>
          <cell r="S71">
            <v>1</v>
          </cell>
          <cell r="T71">
            <v>80</v>
          </cell>
          <cell r="U71">
            <v>40</v>
          </cell>
          <cell r="V71" t="str">
            <v>B</v>
          </cell>
          <cell r="W71">
            <v>500</v>
          </cell>
          <cell r="X71">
            <v>20</v>
          </cell>
          <cell r="Y71">
            <v>4</v>
          </cell>
          <cell r="Z71">
            <v>36</v>
          </cell>
          <cell r="AA71">
            <v>16</v>
          </cell>
          <cell r="AB71">
            <v>0.6</v>
          </cell>
          <cell r="AC71">
            <v>22</v>
          </cell>
          <cell r="AD71">
            <v>3.5544876880615944E-2</v>
          </cell>
          <cell r="AE71">
            <v>23.789473684210527</v>
          </cell>
          <cell r="AF71">
            <v>650.66666666666663</v>
          </cell>
          <cell r="AG71"/>
        </row>
        <row r="72">
          <cell r="A72" t="str">
            <v>Min. Ties</v>
          </cell>
          <cell r="B72">
            <v>61</v>
          </cell>
          <cell r="F72" t="str">
            <v>L4</v>
          </cell>
          <cell r="G72">
            <v>24.05</v>
          </cell>
          <cell r="H72">
            <v>4.3999999999999986</v>
          </cell>
          <cell r="M72" t="str">
            <v>2100x800A</v>
          </cell>
          <cell r="N72">
            <v>2100</v>
          </cell>
          <cell r="O72">
            <v>800</v>
          </cell>
          <cell r="P72"/>
          <cell r="Q72"/>
          <cell r="R72">
            <v>1</v>
          </cell>
          <cell r="S72">
            <v>1</v>
          </cell>
          <cell r="T72">
            <v>80</v>
          </cell>
          <cell r="U72">
            <v>40</v>
          </cell>
          <cell r="V72" t="str">
            <v>B</v>
          </cell>
          <cell r="W72">
            <v>500</v>
          </cell>
          <cell r="X72">
            <v>19</v>
          </cell>
          <cell r="Y72">
            <v>5</v>
          </cell>
          <cell r="Z72">
            <v>36</v>
          </cell>
          <cell r="AA72">
            <v>16</v>
          </cell>
          <cell r="AB72">
            <v>0.6</v>
          </cell>
          <cell r="AC72">
            <v>22</v>
          </cell>
          <cell r="AD72">
            <v>2.6658657660461955E-2</v>
          </cell>
          <cell r="AE72">
            <v>36.222222222222221</v>
          </cell>
          <cell r="AF72">
            <v>488</v>
          </cell>
          <cell r="AG72"/>
        </row>
        <row r="73">
          <cell r="A73" t="str">
            <v>Reo %</v>
          </cell>
          <cell r="B73">
            <v>62</v>
          </cell>
          <cell r="F73" t="str">
            <v>L3</v>
          </cell>
          <cell r="G73">
            <v>20.149999999999999</v>
          </cell>
          <cell r="H73">
            <v>3.9000000000000021</v>
          </cell>
          <cell r="M73" t="str">
            <v>2100x800B</v>
          </cell>
          <cell r="N73">
            <v>2100</v>
          </cell>
          <cell r="O73">
            <v>800</v>
          </cell>
          <cell r="P73"/>
          <cell r="Q73"/>
          <cell r="R73">
            <v>1</v>
          </cell>
          <cell r="S73">
            <v>1</v>
          </cell>
          <cell r="T73">
            <v>80</v>
          </cell>
          <cell r="U73">
            <v>40</v>
          </cell>
          <cell r="V73" t="str">
            <v>B</v>
          </cell>
          <cell r="W73">
            <v>500</v>
          </cell>
          <cell r="X73">
            <v>20</v>
          </cell>
          <cell r="Y73">
            <v>5</v>
          </cell>
          <cell r="Z73">
            <v>40</v>
          </cell>
          <cell r="AA73">
            <v>16</v>
          </cell>
          <cell r="AB73">
            <v>0.6</v>
          </cell>
          <cell r="AC73">
            <v>22</v>
          </cell>
          <cell r="AD73">
            <v>3.4407919539316781E-2</v>
          </cell>
          <cell r="AE73">
            <v>34.10526315789474</v>
          </cell>
          <cell r="AF73">
            <v>487</v>
          </cell>
          <cell r="AG73"/>
        </row>
        <row r="74">
          <cell r="A74" t="str">
            <v>N*max</v>
          </cell>
          <cell r="B74">
            <v>63</v>
          </cell>
          <cell r="F74" t="str">
            <v>L2</v>
          </cell>
          <cell r="G74">
            <v>16.25</v>
          </cell>
          <cell r="H74">
            <v>3.8999999999999986</v>
          </cell>
          <cell r="M74" t="str">
            <v>2100x850A</v>
          </cell>
          <cell r="N74">
            <v>2100</v>
          </cell>
          <cell r="O74">
            <v>850</v>
          </cell>
          <cell r="P74"/>
          <cell r="Q74"/>
          <cell r="R74">
            <v>1</v>
          </cell>
          <cell r="S74">
            <v>1</v>
          </cell>
          <cell r="T74">
            <v>80</v>
          </cell>
          <cell r="U74">
            <v>40</v>
          </cell>
          <cell r="V74" t="str">
            <v>B</v>
          </cell>
          <cell r="W74">
            <v>500</v>
          </cell>
          <cell r="X74">
            <v>20</v>
          </cell>
          <cell r="Y74">
            <v>5</v>
          </cell>
          <cell r="Z74">
            <v>36</v>
          </cell>
          <cell r="AA74">
            <v>16</v>
          </cell>
          <cell r="AB74">
            <v>0.6</v>
          </cell>
          <cell r="AC74">
            <v>22</v>
          </cell>
          <cell r="AD74">
            <v>2.62309786605615E-2</v>
          </cell>
          <cell r="AE74">
            <v>36.94736842105263</v>
          </cell>
          <cell r="AF74">
            <v>488</v>
          </cell>
          <cell r="AG74"/>
        </row>
        <row r="75">
          <cell r="A75" t="str">
            <v>Utilisation</v>
          </cell>
          <cell r="B75">
            <v>64</v>
          </cell>
          <cell r="F75" t="str">
            <v>L1</v>
          </cell>
          <cell r="G75">
            <v>12.35</v>
          </cell>
          <cell r="H75">
            <v>3.9000000000000004</v>
          </cell>
          <cell r="M75" t="str">
            <v>2100x850B</v>
          </cell>
          <cell r="N75">
            <v>2100</v>
          </cell>
          <cell r="O75">
            <v>850</v>
          </cell>
          <cell r="P75"/>
          <cell r="Q75"/>
          <cell r="R75">
            <v>1</v>
          </cell>
          <cell r="S75">
            <v>1</v>
          </cell>
          <cell r="T75">
            <v>80</v>
          </cell>
          <cell r="U75">
            <v>40</v>
          </cell>
          <cell r="V75" t="str">
            <v>B</v>
          </cell>
          <cell r="W75">
            <v>500</v>
          </cell>
          <cell r="X75">
            <v>21</v>
          </cell>
          <cell r="Y75">
            <v>5</v>
          </cell>
          <cell r="Z75">
            <v>40</v>
          </cell>
          <cell r="AA75">
            <v>16</v>
          </cell>
          <cell r="AB75">
            <v>0.6</v>
          </cell>
          <cell r="AC75">
            <v>17</v>
          </cell>
          <cell r="AD75">
            <v>3.3791920979789371E-2</v>
          </cell>
          <cell r="AE75">
            <v>34.9</v>
          </cell>
          <cell r="AF75">
            <v>487</v>
          </cell>
          <cell r="AG75"/>
        </row>
        <row r="76">
          <cell r="A76" t="str">
            <v>P/F</v>
          </cell>
          <cell r="B76">
            <v>65</v>
          </cell>
          <cell r="F76" t="str">
            <v>Ground</v>
          </cell>
          <cell r="G76">
            <v>6</v>
          </cell>
          <cell r="H76">
            <v>6.35</v>
          </cell>
          <cell r="M76" t="str">
            <v>2100x900A</v>
          </cell>
          <cell r="N76">
            <v>2100</v>
          </cell>
          <cell r="O76">
            <v>900</v>
          </cell>
          <cell r="P76"/>
          <cell r="Q76"/>
          <cell r="R76">
            <v>1</v>
          </cell>
          <cell r="S76">
            <v>1</v>
          </cell>
          <cell r="T76">
            <v>80</v>
          </cell>
          <cell r="U76">
            <v>40</v>
          </cell>
          <cell r="V76" t="str">
            <v>B</v>
          </cell>
          <cell r="W76">
            <v>500</v>
          </cell>
          <cell r="X76">
            <v>21</v>
          </cell>
          <cell r="Y76">
            <v>6</v>
          </cell>
          <cell r="Z76">
            <v>36</v>
          </cell>
          <cell r="AA76">
            <v>16</v>
          </cell>
          <cell r="AB76">
            <v>0.6</v>
          </cell>
          <cell r="AC76">
            <v>57</v>
          </cell>
          <cell r="AD76">
            <v>2.6927937030769657E-2</v>
          </cell>
          <cell r="AE76">
            <v>37.6</v>
          </cell>
          <cell r="AF76">
            <v>390.4</v>
          </cell>
          <cell r="AG76"/>
        </row>
        <row r="77">
          <cell r="A77" t="str">
            <v>FRL</v>
          </cell>
          <cell r="B77">
            <v>66</v>
          </cell>
          <cell r="F77" t="str">
            <v>Basement 1</v>
          </cell>
          <cell r="G77">
            <v>2</v>
          </cell>
          <cell r="H77">
            <v>4</v>
          </cell>
          <cell r="M77" t="str">
            <v>3000x900B</v>
          </cell>
          <cell r="N77">
            <v>3000</v>
          </cell>
          <cell r="O77">
            <v>900</v>
          </cell>
          <cell r="P77"/>
          <cell r="Q77"/>
          <cell r="R77">
            <v>1</v>
          </cell>
          <cell r="S77">
            <v>1</v>
          </cell>
          <cell r="T77">
            <v>80</v>
          </cell>
          <cell r="U77">
            <v>40</v>
          </cell>
          <cell r="V77" t="str">
            <v>B</v>
          </cell>
          <cell r="W77">
            <v>500</v>
          </cell>
          <cell r="X77">
            <v>7</v>
          </cell>
          <cell r="Y77">
            <v>17</v>
          </cell>
          <cell r="Z77">
            <v>50</v>
          </cell>
          <cell r="AA77">
            <v>16</v>
          </cell>
          <cell r="AB77">
            <v>0.6</v>
          </cell>
          <cell r="AC77">
            <v>57</v>
          </cell>
          <cell r="AD77">
            <v>3.1997702953229373E-2</v>
          </cell>
          <cell r="AE77">
            <v>123</v>
          </cell>
          <cell r="AF77">
            <v>177.375</v>
          </cell>
          <cell r="AG77"/>
        </row>
        <row r="78">
          <cell r="A78" t="str">
            <v>Tie Rate</v>
          </cell>
          <cell r="B78">
            <v>67</v>
          </cell>
          <cell r="F78" t="str">
            <v>Basement 2</v>
          </cell>
          <cell r="G78">
            <v>-1</v>
          </cell>
          <cell r="H78">
            <v>3</v>
          </cell>
          <cell r="M78" t="str">
            <v>2100x1100B</v>
          </cell>
          <cell r="N78">
            <v>2100</v>
          </cell>
          <cell r="O78">
            <v>1100</v>
          </cell>
          <cell r="P78"/>
          <cell r="Q78"/>
          <cell r="R78">
            <v>1</v>
          </cell>
          <cell r="S78">
            <v>1</v>
          </cell>
          <cell r="T78">
            <v>80</v>
          </cell>
          <cell r="U78">
            <v>40</v>
          </cell>
          <cell r="V78" t="str">
            <v>B</v>
          </cell>
          <cell r="W78">
            <v>500</v>
          </cell>
          <cell r="X78">
            <v>27</v>
          </cell>
          <cell r="Y78">
            <v>6</v>
          </cell>
          <cell r="Z78">
            <v>40</v>
          </cell>
          <cell r="AA78">
            <v>16</v>
          </cell>
          <cell r="AB78">
            <v>0.6</v>
          </cell>
          <cell r="AC78">
            <v>58</v>
          </cell>
          <cell r="AD78">
            <v>3.3727921129448862E-2</v>
          </cell>
          <cell r="AE78">
            <v>36.46153846153846</v>
          </cell>
          <cell r="AF78">
            <v>389.6</v>
          </cell>
          <cell r="AG78"/>
        </row>
        <row r="79">
          <cell r="A79" t="str">
            <v>Bar Rate</v>
          </cell>
          <cell r="B79">
            <v>68</v>
          </cell>
          <cell r="F79" t="str">
            <v>Basement 3</v>
          </cell>
          <cell r="G79">
            <v>-4</v>
          </cell>
          <cell r="H79">
            <v>3</v>
          </cell>
          <cell r="M79" t="str">
            <v>2100x1000B</v>
          </cell>
          <cell r="N79">
            <v>2100</v>
          </cell>
          <cell r="O79">
            <v>1000</v>
          </cell>
          <cell r="P79"/>
          <cell r="Q79"/>
          <cell r="R79">
            <v>1</v>
          </cell>
          <cell r="S79">
            <v>1</v>
          </cell>
          <cell r="T79">
            <v>80</v>
          </cell>
          <cell r="U79">
            <v>40</v>
          </cell>
          <cell r="V79" t="str">
            <v>B</v>
          </cell>
          <cell r="W79">
            <v>500</v>
          </cell>
          <cell r="X79">
            <v>26</v>
          </cell>
          <cell r="Y79">
            <v>6</v>
          </cell>
          <cell r="Z79">
            <v>40</v>
          </cell>
          <cell r="AA79">
            <v>16</v>
          </cell>
          <cell r="AB79">
            <v>0.6</v>
          </cell>
          <cell r="AC79">
            <v>59</v>
          </cell>
          <cell r="AD79">
            <v>3.5903916041026204E-2</v>
          </cell>
          <cell r="AE79">
            <v>33.92</v>
          </cell>
          <cell r="AF79">
            <v>389.6</v>
          </cell>
          <cell r="AG79"/>
        </row>
        <row r="80">
          <cell r="A80" t="str">
            <v>Total Rate</v>
          </cell>
          <cell r="B80">
            <v>69</v>
          </cell>
          <cell r="F80" t="str">
            <v>Basement 4</v>
          </cell>
          <cell r="G80">
            <v>-7</v>
          </cell>
          <cell r="H80">
            <v>3</v>
          </cell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</row>
        <row r="81">
          <cell r="A81" t="str">
            <v>Design Concrete Volume</v>
          </cell>
          <cell r="B81">
            <v>71</v>
          </cell>
          <cell r="F81"/>
          <cell r="G81"/>
          <cell r="H81" t="str">
            <v/>
          </cell>
          <cell r="M81" t="str">
            <v>1000x500</v>
          </cell>
          <cell r="N81">
            <v>1000</v>
          </cell>
          <cell r="O81">
            <v>500</v>
          </cell>
          <cell r="P81"/>
          <cell r="Q81"/>
          <cell r="R81">
            <v>1</v>
          </cell>
          <cell r="S81">
            <v>1</v>
          </cell>
          <cell r="T81">
            <v>80</v>
          </cell>
          <cell r="U81">
            <v>40</v>
          </cell>
          <cell r="V81" t="str">
            <v>B</v>
          </cell>
          <cell r="W81">
            <v>500</v>
          </cell>
          <cell r="X81">
            <v>3</v>
          </cell>
          <cell r="Y81">
            <v>9</v>
          </cell>
          <cell r="Z81">
            <v>24</v>
          </cell>
          <cell r="AA81">
            <v>16</v>
          </cell>
          <cell r="AB81">
            <v>0.6</v>
          </cell>
          <cell r="AC81">
            <v>56</v>
          </cell>
          <cell r="AD81">
            <v>1.8095573684677208E-2</v>
          </cell>
          <cell r="AE81">
            <v>182</v>
          </cell>
          <cell r="AF81">
            <v>108</v>
          </cell>
          <cell r="AG81"/>
        </row>
        <row r="82">
          <cell r="A82" t="str">
            <v>Design Reinf. Weight</v>
          </cell>
          <cell r="B82">
            <v>72</v>
          </cell>
          <cell r="F82"/>
          <cell r="G82"/>
          <cell r="H82" t="str">
            <v/>
          </cell>
          <cell r="M82" t="str">
            <v>1000x400</v>
          </cell>
          <cell r="N82">
            <v>1000</v>
          </cell>
          <cell r="O82">
            <v>400</v>
          </cell>
          <cell r="P82"/>
          <cell r="Q82"/>
          <cell r="R82">
            <v>1</v>
          </cell>
          <cell r="S82">
            <v>1</v>
          </cell>
          <cell r="T82">
            <v>80</v>
          </cell>
          <cell r="U82">
            <v>40</v>
          </cell>
          <cell r="V82" t="str">
            <v>B</v>
          </cell>
          <cell r="W82">
            <v>500</v>
          </cell>
          <cell r="X82">
            <v>3</v>
          </cell>
          <cell r="Y82">
            <v>9</v>
          </cell>
          <cell r="Z82">
            <v>24</v>
          </cell>
          <cell r="AA82">
            <v>16</v>
          </cell>
          <cell r="AB82">
            <v>0.6</v>
          </cell>
          <cell r="AC82">
            <v>17</v>
          </cell>
          <cell r="AD82">
            <v>2.2619467105846509E-2</v>
          </cell>
          <cell r="AE82">
            <v>132</v>
          </cell>
          <cell r="AF82">
            <v>108</v>
          </cell>
          <cell r="AG82"/>
        </row>
        <row r="83">
          <cell r="A83" t="str">
            <v>Comparison D</v>
          </cell>
          <cell r="B83">
            <v>73</v>
          </cell>
          <cell r="F83"/>
          <cell r="G83"/>
          <cell r="H83" t="str">
            <v/>
          </cell>
          <cell r="M83" t="str">
            <v>1000X300</v>
          </cell>
          <cell r="N83">
            <v>1000</v>
          </cell>
          <cell r="O83">
            <v>300</v>
          </cell>
          <cell r="P83"/>
          <cell r="Q83"/>
          <cell r="R83">
            <v>1</v>
          </cell>
          <cell r="S83">
            <v>1</v>
          </cell>
          <cell r="T83">
            <v>80</v>
          </cell>
          <cell r="U83">
            <v>40</v>
          </cell>
          <cell r="V83" t="str">
            <v>B</v>
          </cell>
          <cell r="W83">
            <v>500</v>
          </cell>
          <cell r="X83">
            <v>2</v>
          </cell>
          <cell r="Y83">
            <v>9</v>
          </cell>
          <cell r="Z83">
            <v>20</v>
          </cell>
          <cell r="AA83">
            <v>16</v>
          </cell>
          <cell r="AB83">
            <v>0.6</v>
          </cell>
          <cell r="AC83">
            <v>56</v>
          </cell>
          <cell r="AD83">
            <v>1.8849555921538759E-2</v>
          </cell>
          <cell r="AE83">
            <v>168</v>
          </cell>
          <cell r="AF83">
            <v>108.5</v>
          </cell>
          <cell r="AG83"/>
        </row>
        <row r="84">
          <cell r="A84" t="str">
            <v>Comparison W</v>
          </cell>
          <cell r="B84">
            <v>74</v>
          </cell>
          <cell r="F84"/>
          <cell r="G84"/>
          <cell r="H84" t="str">
            <v/>
          </cell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</row>
        <row r="85">
          <cell r="A85" t="str">
            <v>Comparison f'c</v>
          </cell>
          <cell r="B85">
            <v>75</v>
          </cell>
          <cell r="F85"/>
          <cell r="G85"/>
          <cell r="H85" t="str">
            <v/>
          </cell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</row>
        <row r="86">
          <cell r="A86" t="str">
            <v>Comparison Rate</v>
          </cell>
          <cell r="B86">
            <v>76</v>
          </cell>
          <cell r="F86"/>
          <cell r="G86"/>
          <cell r="H86" t="str">
            <v/>
          </cell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</row>
        <row r="87">
          <cell r="A87" t="str">
            <v>Comparison Conc. Volume</v>
          </cell>
          <cell r="B87">
            <v>77</v>
          </cell>
          <cell r="F87"/>
          <cell r="G87"/>
          <cell r="H87" t="str">
            <v/>
          </cell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</row>
        <row r="88">
          <cell r="A88" t="str">
            <v>Comparison Reinf. Weight</v>
          </cell>
          <cell r="B88">
            <v>78</v>
          </cell>
          <cell r="F88"/>
          <cell r="G88"/>
          <cell r="H88" t="str">
            <v/>
          </cell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</row>
        <row r="89">
          <cell r="A89" t="str">
            <v>ds</v>
          </cell>
          <cell r="B89">
            <v>80</v>
          </cell>
          <cell r="F89"/>
          <cell r="G89"/>
          <cell r="H89" t="str">
            <v/>
          </cell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</row>
        <row r="90">
          <cell r="A90" t="str">
            <v>nR</v>
          </cell>
          <cell r="B90">
            <v>81</v>
          </cell>
          <cell r="F90"/>
          <cell r="G90"/>
          <cell r="H90" t="str">
            <v/>
          </cell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</row>
        <row r="91">
          <cell r="A91" t="str">
            <v>f'cs</v>
          </cell>
          <cell r="B91">
            <v>82</v>
          </cell>
          <cell r="F91"/>
          <cell r="G91"/>
          <cell r="H91" t="str">
            <v/>
          </cell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</row>
        <row r="92">
          <cell r="A92" t="str">
            <v>f'ce</v>
          </cell>
          <cell r="B92">
            <v>83</v>
          </cell>
          <cell r="F92"/>
          <cell r="G92"/>
          <cell r="H92" t="str">
            <v/>
          </cell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</row>
        <row r="93">
          <cell r="A93" t="str">
            <v>c</v>
          </cell>
          <cell r="B93">
            <v>84</v>
          </cell>
          <cell r="F93"/>
          <cell r="G93"/>
          <cell r="H93" t="str">
            <v/>
          </cell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</row>
        <row r="94">
          <cell r="A94" t="str">
            <v>Nbdb</v>
          </cell>
          <cell r="B94">
            <v>86</v>
          </cell>
          <cell r="F94"/>
          <cell r="G94"/>
          <cell r="H94" t="str">
            <v/>
          </cell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</row>
        <row r="95">
          <cell r="A95" t="str">
            <v>Tie Type</v>
          </cell>
          <cell r="B95">
            <v>87</v>
          </cell>
          <cell r="F95"/>
          <cell r="G95"/>
          <cell r="H95" t="str">
            <v/>
          </cell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</row>
        <row r="96">
          <cell r="A96" t="str">
            <v>Start Splice</v>
          </cell>
          <cell r="B96">
            <v>88</v>
          </cell>
          <cell r="F96"/>
          <cell r="G96"/>
          <cell r="H96" t="str">
            <v/>
          </cell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</row>
        <row r="97">
          <cell r="A97" t="str">
            <v>Adopted Ties</v>
          </cell>
          <cell r="B97">
            <v>89</v>
          </cell>
          <cell r="F97"/>
          <cell r="G97"/>
          <cell r="H97" t="str">
            <v/>
          </cell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</row>
        <row r="98">
          <cell r="A98" t="str">
            <v>Custom 5</v>
          </cell>
          <cell r="B98">
            <v>90</v>
          </cell>
          <cell r="F98"/>
          <cell r="G98"/>
          <cell r="H98" t="str">
            <v/>
          </cell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</row>
        <row r="99">
          <cell r="A99" t="str">
            <v>tbuild</v>
          </cell>
          <cell r="B99">
            <v>92</v>
          </cell>
          <cell r="F99"/>
          <cell r="G99"/>
          <cell r="H99" t="str">
            <v/>
          </cell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</row>
        <row r="100">
          <cell r="A100" t="str">
            <v>%Col SW</v>
          </cell>
          <cell r="B100">
            <v>93</v>
          </cell>
          <cell r="F100"/>
          <cell r="G100"/>
          <cell r="H100" t="str">
            <v/>
          </cell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</row>
        <row r="101">
          <cell r="A101" t="str">
            <v>tCSW</v>
          </cell>
          <cell r="B101">
            <v>94</v>
          </cell>
          <cell r="F101"/>
          <cell r="G101"/>
          <cell r="H101" t="str">
            <v/>
          </cell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</row>
        <row r="102">
          <cell r="A102" t="str">
            <v>%SW</v>
          </cell>
          <cell r="B102">
            <v>95</v>
          </cell>
          <cell r="F102"/>
          <cell r="G102"/>
          <cell r="H102" t="str">
            <v/>
          </cell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</row>
        <row r="103">
          <cell r="A103" t="str">
            <v>tSW</v>
          </cell>
          <cell r="B103">
            <v>96</v>
          </cell>
          <cell r="F103"/>
          <cell r="G103"/>
          <cell r="H103" t="str">
            <v/>
          </cell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</row>
        <row r="104">
          <cell r="A104" t="str">
            <v>%SDL</v>
          </cell>
          <cell r="B104">
            <v>97</v>
          </cell>
          <cell r="F104"/>
          <cell r="G104"/>
          <cell r="H104" t="str">
            <v/>
          </cell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</row>
        <row r="105">
          <cell r="A105" t="str">
            <v>tSDL</v>
          </cell>
          <cell r="B105">
            <v>98</v>
          </cell>
          <cell r="F105"/>
          <cell r="G105"/>
          <cell r="H105" t="str">
            <v/>
          </cell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</row>
        <row r="106">
          <cell r="A106" t="str">
            <v>%RLL</v>
          </cell>
          <cell r="B106">
            <v>99</v>
          </cell>
          <cell r="F106"/>
          <cell r="G106"/>
          <cell r="H106" t="str">
            <v/>
          </cell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</row>
        <row r="107">
          <cell r="A107" t="str">
            <v>tRLL</v>
          </cell>
          <cell r="B107">
            <v>100</v>
          </cell>
          <cell r="F107"/>
          <cell r="G107"/>
          <cell r="H107" t="str">
            <v/>
          </cell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</row>
        <row r="108">
          <cell r="A108" t="str">
            <v>%NRLL</v>
          </cell>
          <cell r="B108">
            <v>101</v>
          </cell>
          <cell r="F108"/>
          <cell r="G108"/>
          <cell r="H108" t="str">
            <v/>
          </cell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</row>
        <row r="109">
          <cell r="A109" t="str">
            <v>tNRLL</v>
          </cell>
          <cell r="B109">
            <v>102</v>
          </cell>
          <cell r="F109"/>
          <cell r="G109"/>
          <cell r="H109" t="str">
            <v/>
          </cell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</row>
        <row r="110">
          <cell r="A110" t="str">
            <v>%Walls</v>
          </cell>
          <cell r="B110">
            <v>103</v>
          </cell>
          <cell r="F110"/>
          <cell r="G110"/>
          <cell r="H110" t="str">
            <v/>
          </cell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</row>
        <row r="111">
          <cell r="A111" t="str">
            <v>tWALLS</v>
          </cell>
          <cell r="B111">
            <v>104</v>
          </cell>
          <cell r="F111"/>
          <cell r="G111"/>
          <cell r="H111" t="str">
            <v/>
          </cell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</row>
        <row r="112">
          <cell r="A112" t="str">
            <v>%EDL</v>
          </cell>
          <cell r="B112">
            <v>105</v>
          </cell>
          <cell r="F112"/>
          <cell r="G112"/>
          <cell r="H112" t="str">
            <v/>
          </cell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</row>
        <row r="113">
          <cell r="A113" t="str">
            <v>tEDL</v>
          </cell>
          <cell r="B113">
            <v>106</v>
          </cell>
          <cell r="F113"/>
          <cell r="G113"/>
          <cell r="H113" t="str">
            <v/>
          </cell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</row>
        <row r="114">
          <cell r="A114" t="str">
            <v>%ELL</v>
          </cell>
          <cell r="B114">
            <v>107</v>
          </cell>
          <cell r="F114"/>
          <cell r="G114"/>
          <cell r="H114" t="str">
            <v/>
          </cell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</row>
        <row r="115">
          <cell r="A115" t="str">
            <v>tELL</v>
          </cell>
          <cell r="B115">
            <v>108</v>
          </cell>
          <cell r="F115"/>
          <cell r="G115"/>
          <cell r="H115" t="str">
            <v/>
          </cell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</row>
        <row r="116">
          <cell r="A116" t="str">
            <v>wtemp</v>
          </cell>
          <cell r="B116">
            <v>109</v>
          </cell>
          <cell r="F116"/>
          <cell r="G116"/>
          <cell r="H116" t="str">
            <v/>
          </cell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</row>
        <row r="117">
          <cell r="A117" t="str">
            <v>ttemp,ON</v>
          </cell>
          <cell r="B117">
            <v>110</v>
          </cell>
          <cell r="F117"/>
          <cell r="G117"/>
          <cell r="H117" t="str">
            <v/>
          </cell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</row>
        <row r="118">
          <cell r="A118" t="str">
            <v>ttemp,OFF</v>
          </cell>
          <cell r="B118">
            <v>111</v>
          </cell>
          <cell r="F118"/>
          <cell r="G118"/>
          <cell r="H118" t="str">
            <v/>
          </cell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</row>
        <row r="119">
          <cell r="A119" t="str">
            <v>Detailed Bprop Sequence</v>
          </cell>
          <cell r="B119">
            <v>112</v>
          </cell>
          <cell r="F119"/>
          <cell r="G119"/>
          <cell r="H119" t="str">
            <v/>
          </cell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</row>
        <row r="120">
          <cell r="A120" t="str">
            <v>BP Level 1</v>
          </cell>
          <cell r="B120">
            <v>113</v>
          </cell>
          <cell r="F120"/>
          <cell r="G120"/>
          <cell r="H120" t="str">
            <v/>
          </cell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</row>
        <row r="121">
          <cell r="A121" t="str">
            <v>BP Level 2</v>
          </cell>
          <cell r="B121">
            <v>114</v>
          </cell>
          <cell r="F121"/>
          <cell r="G121"/>
          <cell r="H121" t="str">
            <v/>
          </cell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</row>
        <row r="122">
          <cell r="A122" t="str">
            <v>BP Level 3</v>
          </cell>
          <cell r="B122">
            <v>115</v>
          </cell>
          <cell r="F122"/>
          <cell r="G122"/>
          <cell r="H122" t="str">
            <v/>
          </cell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</row>
        <row r="123">
          <cell r="A123" t="str">
            <v>BP Level 1 %</v>
          </cell>
          <cell r="B123">
            <v>116</v>
          </cell>
          <cell r="F123"/>
          <cell r="G123"/>
          <cell r="H123" t="str">
            <v/>
          </cell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</row>
        <row r="124">
          <cell r="A124" t="str">
            <v>BP Level 2 %</v>
          </cell>
          <cell r="B124">
            <v>117</v>
          </cell>
          <cell r="F124"/>
          <cell r="G124"/>
          <cell r="H124" t="str">
            <v/>
          </cell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</row>
        <row r="125">
          <cell r="A125" t="str">
            <v>BP Level 3 %</v>
          </cell>
          <cell r="B125">
            <v>118</v>
          </cell>
          <cell r="F125"/>
          <cell r="G125"/>
          <cell r="H125" t="str">
            <v/>
          </cell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</row>
        <row r="126">
          <cell r="A126" t="str">
            <v>tBP,L1 OFF</v>
          </cell>
          <cell r="B126">
            <v>119</v>
          </cell>
          <cell r="F126"/>
          <cell r="G126"/>
          <cell r="H126" t="str">
            <v/>
          </cell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</row>
        <row r="127">
          <cell r="A127" t="str">
            <v>tBP,L2 OFF</v>
          </cell>
          <cell r="B127">
            <v>120</v>
          </cell>
          <cell r="F127"/>
          <cell r="G127"/>
          <cell r="H127" t="str">
            <v/>
          </cell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</row>
        <row r="128">
          <cell r="A128" t="str">
            <v>tBP,L3 OFF</v>
          </cell>
          <cell r="B128">
            <v>121</v>
          </cell>
          <cell r="F128"/>
          <cell r="G128"/>
          <cell r="H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</row>
        <row r="129">
          <cell r="F129"/>
          <cell r="G129"/>
          <cell r="H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</row>
        <row r="130">
          <cell r="F130"/>
          <cell r="G130"/>
          <cell r="H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</row>
        <row r="131">
          <cell r="F131"/>
          <cell r="G131"/>
          <cell r="H131"/>
        </row>
        <row r="132">
          <cell r="F132"/>
          <cell r="G132"/>
          <cell r="H132"/>
        </row>
        <row r="133">
          <cell r="F133"/>
          <cell r="G133"/>
          <cell r="H133"/>
        </row>
        <row r="134">
          <cell r="F134"/>
          <cell r="G134"/>
          <cell r="H134"/>
        </row>
        <row r="135">
          <cell r="F135"/>
          <cell r="G135"/>
          <cell r="H135"/>
        </row>
        <row r="136">
          <cell r="F136"/>
          <cell r="G136"/>
          <cell r="H136"/>
        </row>
        <row r="137">
          <cell r="F137"/>
          <cell r="G137"/>
          <cell r="H137"/>
        </row>
        <row r="138">
          <cell r="F138"/>
          <cell r="G138"/>
          <cell r="H138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1"/>
      <sheetName val="IT2&amp;3"/>
      <sheetName val="IT4"/>
      <sheetName val="Typical Offsets"/>
      <sheetName val="Skydeck Lifting Dates"/>
      <sheetName val="Sanity Check"/>
    </sheetNames>
    <sheetDataSet>
      <sheetData sheetId="0"/>
      <sheetData sheetId="1"/>
      <sheetData sheetId="2"/>
      <sheetData sheetId="3">
        <row r="8">
          <cell r="D8">
            <v>3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Slidehelper - 010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5BC0EB"/>
      </a:accent1>
      <a:accent2>
        <a:srgbClr val="FDE74C"/>
      </a:accent2>
      <a:accent3>
        <a:srgbClr val="9BC53D"/>
      </a:accent3>
      <a:accent4>
        <a:srgbClr val="E55934"/>
      </a:accent4>
      <a:accent5>
        <a:srgbClr val="FA7921"/>
      </a:accent5>
      <a:accent6>
        <a:srgbClr val="BFBFBF"/>
      </a:accent6>
      <a:hlink>
        <a:srgbClr val="5BC0EB"/>
      </a:hlink>
      <a:folHlink>
        <a:srgbClr val="FDE74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581F-C3A9-4963-B8D3-911B37E6F0F1}">
  <sheetPr codeName="Sheet1">
    <tabColor theme="3"/>
  </sheetPr>
  <dimension ref="A1:DO67"/>
  <sheetViews>
    <sheetView tabSelected="1" zoomScaleNormal="100" workbookViewId="0">
      <pane ySplit="14" topLeftCell="A15" activePane="bottomLeft" state="frozen"/>
      <selection pane="bottomLeft" activeCell="M8" sqref="M8"/>
    </sheetView>
  </sheetViews>
  <sheetFormatPr defaultRowHeight="12.75" outlineLevelRow="1" x14ac:dyDescent="0.2"/>
  <cols>
    <col min="1" max="1" width="13.7109375" customWidth="1"/>
    <col min="2" max="2" width="14.7109375" customWidth="1"/>
    <col min="3" max="3" width="19.85546875" customWidth="1"/>
    <col min="4" max="4" width="21.7109375" customWidth="1"/>
    <col min="5" max="5" width="18" customWidth="1"/>
    <col min="6" max="7" width="23.28515625" customWidth="1"/>
    <col min="8" max="10" width="24" customWidth="1"/>
    <col min="11" max="11" width="17.140625" customWidth="1"/>
    <col min="12" max="12" width="17.7109375" bestFit="1" customWidth="1"/>
  </cols>
  <sheetData>
    <row r="1" spans="1:119" s="9" customFormat="1" ht="24.75" customHeight="1" x14ac:dyDescent="0.2">
      <c r="A1" s="8" t="str">
        <f>"BatchExcel | " &amp; B3</f>
        <v>BatchExcel | &lt;Path to Calculation Workbook&gt;</v>
      </c>
      <c r="B1" s="8"/>
      <c r="C1" s="8"/>
      <c r="D1" s="8"/>
      <c r="E1" s="8"/>
      <c r="F1" s="8"/>
      <c r="G1" s="8"/>
      <c r="H1" s="8"/>
      <c r="I1" s="8"/>
      <c r="J1" s="8"/>
    </row>
    <row r="2" spans="1:119" ht="18.75" x14ac:dyDescent="0.2">
      <c r="A2" s="12" t="s">
        <v>9</v>
      </c>
      <c r="B2" s="13"/>
      <c r="C2" s="13"/>
      <c r="D2" s="13"/>
      <c r="E2" s="13"/>
      <c r="F2" s="13"/>
      <c r="G2" s="13"/>
      <c r="H2" s="14"/>
      <c r="I2" s="14"/>
      <c r="J2" s="1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</row>
    <row r="3" spans="1:119" x14ac:dyDescent="0.2">
      <c r="A3" s="10" t="s">
        <v>3</v>
      </c>
      <c r="B3" s="49" t="s">
        <v>28</v>
      </c>
      <c r="C3" s="6"/>
      <c r="D3" s="5"/>
      <c r="E3" s="5"/>
      <c r="F3" s="5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</row>
    <row r="4" spans="1:119" x14ac:dyDescent="0.2">
      <c r="A4" s="10" t="s">
        <v>0</v>
      </c>
      <c r="B4" s="76" t="s">
        <v>8</v>
      </c>
      <c r="C4" s="79"/>
      <c r="D4" s="80"/>
      <c r="E4" s="80"/>
      <c r="F4" s="80"/>
      <c r="G4" s="80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</row>
    <row r="5" spans="1:119" x14ac:dyDescent="0.2">
      <c r="A5" s="10" t="s">
        <v>12</v>
      </c>
      <c r="B5" s="76" t="s">
        <v>11</v>
      </c>
      <c r="C5" s="79"/>
      <c r="D5" s="80"/>
      <c r="E5" s="80"/>
      <c r="F5" s="80"/>
      <c r="G5" s="8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</row>
    <row r="6" spans="1:119" ht="18.75" x14ac:dyDescent="0.2">
      <c r="A6" s="12" t="s">
        <v>5</v>
      </c>
      <c r="B6" s="13"/>
      <c r="C6" s="13"/>
      <c r="D6" s="13"/>
      <c r="E6" s="13"/>
      <c r="F6" s="13"/>
      <c r="G6" s="13"/>
      <c r="H6" s="14"/>
      <c r="I6" s="14"/>
      <c r="J6" s="1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</row>
    <row r="7" spans="1:119" x14ac:dyDescent="0.2">
      <c r="A7" s="10" t="s">
        <v>2</v>
      </c>
      <c r="B7" s="75" t="s">
        <v>27</v>
      </c>
      <c r="C7" s="50"/>
      <c r="D7" s="50"/>
      <c r="E7" s="50"/>
      <c r="F7" s="50"/>
      <c r="G7" s="5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</row>
    <row r="8" spans="1:119" x14ac:dyDescent="0.2">
      <c r="A8" s="10" t="s">
        <v>1</v>
      </c>
      <c r="B8" s="76" t="s">
        <v>25</v>
      </c>
      <c r="C8" s="76"/>
      <c r="D8" s="76"/>
      <c r="E8" s="76"/>
      <c r="F8" s="76"/>
      <c r="G8" s="7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</row>
    <row r="9" spans="1:119" x14ac:dyDescent="0.2">
      <c r="A9" s="10" t="s">
        <v>13</v>
      </c>
      <c r="B9" s="76" t="s">
        <v>26</v>
      </c>
      <c r="C9" s="77"/>
      <c r="D9" s="50"/>
      <c r="E9" s="50"/>
      <c r="F9" s="50"/>
      <c r="G9" s="5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</row>
    <row r="10" spans="1:119" x14ac:dyDescent="0.2">
      <c r="A10" s="11" t="s">
        <v>4</v>
      </c>
      <c r="B10" s="78" t="s">
        <v>24</v>
      </c>
      <c r="C10" s="78"/>
      <c r="D10" s="78"/>
      <c r="E10" s="78"/>
      <c r="F10" s="78"/>
      <c r="G10" s="7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</row>
    <row r="11" spans="1:119" ht="18.75" customHeight="1" x14ac:dyDescent="0.2">
      <c r="A11" s="15" t="s">
        <v>16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</row>
    <row r="12" spans="1:119" x14ac:dyDescent="0.2">
      <c r="A12" s="18"/>
      <c r="B12" s="16"/>
      <c r="C12" s="16"/>
      <c r="D12" s="62" t="s">
        <v>36</v>
      </c>
      <c r="E12" s="64"/>
      <c r="F12" s="62" t="s">
        <v>37</v>
      </c>
      <c r="G12" s="63"/>
      <c r="H12" s="71"/>
      <c r="I12" s="63" t="s">
        <v>38</v>
      </c>
      <c r="J12" s="64"/>
      <c r="K12" s="66" t="s">
        <v>15</v>
      </c>
      <c r="L12" s="65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</row>
    <row r="13" spans="1:119" s="2" customFormat="1" ht="40.5" customHeight="1" x14ac:dyDescent="0.2">
      <c r="A13" s="19"/>
      <c r="B13" s="17"/>
      <c r="C13" s="36"/>
      <c r="D13" s="57" t="s">
        <v>32</v>
      </c>
      <c r="E13" s="68" t="s">
        <v>32</v>
      </c>
      <c r="F13" s="57" t="s">
        <v>32</v>
      </c>
      <c r="G13" s="58" t="s">
        <v>32</v>
      </c>
      <c r="H13" s="68" t="s">
        <v>34</v>
      </c>
      <c r="I13" s="58" t="s">
        <v>32</v>
      </c>
      <c r="J13" s="68" t="s">
        <v>32</v>
      </c>
      <c r="K13" s="59" t="s">
        <v>30</v>
      </c>
      <c r="L13" s="58" t="s">
        <v>30</v>
      </c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</row>
    <row r="14" spans="1:119" s="2" customFormat="1" x14ac:dyDescent="0.2">
      <c r="A14" s="17" t="s">
        <v>17</v>
      </c>
      <c r="B14" s="17" t="s">
        <v>20</v>
      </c>
      <c r="C14" s="17" t="s">
        <v>18</v>
      </c>
      <c r="D14" s="61" t="s">
        <v>33</v>
      </c>
      <c r="E14" s="70" t="s">
        <v>33</v>
      </c>
      <c r="F14" s="60" t="s">
        <v>33</v>
      </c>
      <c r="G14" s="67" t="s">
        <v>33</v>
      </c>
      <c r="H14" s="69" t="s">
        <v>35</v>
      </c>
      <c r="I14" s="67" t="s">
        <v>33</v>
      </c>
      <c r="J14" s="69" t="s">
        <v>33</v>
      </c>
      <c r="K14" s="61" t="s">
        <v>29</v>
      </c>
      <c r="L14" s="67" t="s">
        <v>31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</row>
    <row r="15" spans="1:119" s="23" customFormat="1" outlineLevel="1" x14ac:dyDescent="0.2">
      <c r="A15" s="37"/>
      <c r="B15" s="43" t="s">
        <v>19</v>
      </c>
      <c r="C15" s="46" t="s">
        <v>7</v>
      </c>
      <c r="D15" s="28" t="s">
        <v>7</v>
      </c>
      <c r="E15" s="30" t="s">
        <v>7</v>
      </c>
      <c r="F15" s="28" t="s">
        <v>7</v>
      </c>
      <c r="G15" s="29" t="s">
        <v>7</v>
      </c>
      <c r="H15" s="30" t="s">
        <v>23</v>
      </c>
      <c r="I15" s="29" t="s">
        <v>7</v>
      </c>
      <c r="J15" s="30" t="s">
        <v>7</v>
      </c>
      <c r="K15" s="28" t="s">
        <v>14</v>
      </c>
      <c r="L15" s="29" t="s">
        <v>14</v>
      </c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22"/>
      <c r="DK15" s="22"/>
      <c r="DL15" s="22"/>
      <c r="DM15" s="22"/>
      <c r="DN15" s="22"/>
      <c r="DO15" s="22"/>
    </row>
    <row r="16" spans="1:119" s="2" customFormat="1" outlineLevel="1" x14ac:dyDescent="0.2">
      <c r="A16" s="38"/>
      <c r="B16" s="44" t="s">
        <v>10</v>
      </c>
      <c r="C16" s="51" t="s">
        <v>21</v>
      </c>
      <c r="D16" s="51" t="s">
        <v>21</v>
      </c>
      <c r="E16" s="53" t="s">
        <v>21</v>
      </c>
      <c r="F16" s="51" t="s">
        <v>21</v>
      </c>
      <c r="G16" s="52" t="s">
        <v>21</v>
      </c>
      <c r="H16" s="27"/>
      <c r="I16" s="52" t="s">
        <v>21</v>
      </c>
      <c r="J16" s="53" t="s">
        <v>21</v>
      </c>
      <c r="K16" s="52" t="s">
        <v>21</v>
      </c>
      <c r="L16" s="48" t="s">
        <v>21</v>
      </c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/>
      <c r="DK16"/>
      <c r="DL16"/>
      <c r="DM16"/>
      <c r="DN16"/>
      <c r="DO16"/>
    </row>
    <row r="17" spans="1:119" s="25" customFormat="1" outlineLevel="1" x14ac:dyDescent="0.2">
      <c r="A17" s="39"/>
      <c r="B17" s="45" t="s">
        <v>6</v>
      </c>
      <c r="C17" s="54" t="s">
        <v>22</v>
      </c>
      <c r="D17" s="54" t="s">
        <v>22</v>
      </c>
      <c r="E17" s="56" t="s">
        <v>22</v>
      </c>
      <c r="F17" s="54" t="s">
        <v>22</v>
      </c>
      <c r="G17" s="55" t="s">
        <v>22</v>
      </c>
      <c r="H17" s="32"/>
      <c r="I17" s="55" t="s">
        <v>22</v>
      </c>
      <c r="J17" s="56" t="s">
        <v>22</v>
      </c>
      <c r="K17" s="55" t="s">
        <v>22</v>
      </c>
      <c r="L17" s="31" t="s">
        <v>22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24"/>
      <c r="DK17" s="24"/>
      <c r="DL17" s="24"/>
      <c r="DM17" s="24"/>
      <c r="DN17" s="24"/>
      <c r="DO17" s="24"/>
    </row>
    <row r="18" spans="1:119" x14ac:dyDescent="0.2">
      <c r="A18" s="4">
        <v>1</v>
      </c>
      <c r="B18" s="16"/>
      <c r="C18" s="47"/>
      <c r="D18" s="20"/>
      <c r="E18" s="21"/>
      <c r="F18" s="73"/>
      <c r="G18" s="74"/>
      <c r="H18" s="72"/>
      <c r="I18" s="26"/>
      <c r="J18" s="26"/>
      <c r="K18" s="35"/>
      <c r="L18" s="8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</row>
    <row r="19" spans="1:119" x14ac:dyDescent="0.2">
      <c r="A19" s="4">
        <f>A18+1</f>
        <v>2</v>
      </c>
      <c r="B19" s="1"/>
      <c r="C19" s="47"/>
      <c r="D19" s="20"/>
      <c r="E19" s="21"/>
      <c r="F19" s="73"/>
      <c r="G19" s="74"/>
      <c r="H19" s="72"/>
      <c r="I19" s="26"/>
      <c r="J19" s="26"/>
      <c r="K19" s="35"/>
      <c r="L19" s="8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</row>
    <row r="20" spans="1:119" x14ac:dyDescent="0.2">
      <c r="A20" s="4">
        <f t="shared" ref="A20:A67" si="0">A19+1</f>
        <v>3</v>
      </c>
      <c r="B20" s="1"/>
      <c r="C20" s="47"/>
      <c r="D20" s="20"/>
      <c r="E20" s="21"/>
      <c r="F20" s="73"/>
      <c r="G20" s="74"/>
      <c r="H20" s="72"/>
      <c r="I20" s="26"/>
      <c r="J20" s="26"/>
      <c r="K20" s="35"/>
      <c r="L20" s="8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</row>
    <row r="21" spans="1:119" x14ac:dyDescent="0.2">
      <c r="A21" s="4">
        <f t="shared" si="0"/>
        <v>4</v>
      </c>
      <c r="B21" s="1"/>
      <c r="C21" s="47"/>
      <c r="D21" s="20"/>
      <c r="E21" s="21"/>
      <c r="F21" s="73"/>
      <c r="G21" s="74"/>
      <c r="H21" s="72"/>
      <c r="I21" s="26"/>
      <c r="J21" s="26"/>
      <c r="K21" s="35"/>
      <c r="L21" s="8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</row>
    <row r="22" spans="1:119" x14ac:dyDescent="0.2">
      <c r="A22" s="4">
        <f t="shared" si="0"/>
        <v>5</v>
      </c>
      <c r="B22" s="1"/>
      <c r="C22" s="47"/>
      <c r="D22" s="20"/>
      <c r="E22" s="21"/>
      <c r="F22" s="73"/>
      <c r="G22" s="74"/>
      <c r="H22" s="72"/>
      <c r="I22" s="26"/>
      <c r="J22" s="26"/>
      <c r="K22" s="35"/>
      <c r="L22" s="8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</row>
    <row r="23" spans="1:119" x14ac:dyDescent="0.2">
      <c r="A23" s="4">
        <f t="shared" si="0"/>
        <v>6</v>
      </c>
      <c r="B23" s="1"/>
      <c r="C23" s="47"/>
      <c r="D23" s="20"/>
      <c r="E23" s="21"/>
      <c r="F23" s="73"/>
      <c r="G23" s="74"/>
      <c r="H23" s="72"/>
      <c r="I23" s="26"/>
      <c r="J23" s="26"/>
      <c r="K23" s="35"/>
      <c r="L23" s="8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</row>
    <row r="24" spans="1:119" x14ac:dyDescent="0.2">
      <c r="A24" s="4">
        <f t="shared" si="0"/>
        <v>7</v>
      </c>
      <c r="B24" s="1"/>
      <c r="C24" s="47"/>
      <c r="D24" s="20"/>
      <c r="E24" s="21"/>
      <c r="F24" s="73"/>
      <c r="G24" s="74"/>
      <c r="H24" s="72"/>
      <c r="I24" s="26"/>
      <c r="J24" s="26"/>
      <c r="K24" s="35"/>
      <c r="L24" s="8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</row>
    <row r="25" spans="1:119" x14ac:dyDescent="0.2">
      <c r="A25" s="4">
        <f t="shared" si="0"/>
        <v>8</v>
      </c>
      <c r="B25" s="1"/>
      <c r="C25" s="47"/>
      <c r="D25" s="20"/>
      <c r="E25" s="21"/>
      <c r="F25" s="73"/>
      <c r="G25" s="74"/>
      <c r="H25" s="72"/>
      <c r="I25" s="26"/>
      <c r="J25" s="26"/>
      <c r="K25" s="35"/>
      <c r="L25" s="8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</row>
    <row r="26" spans="1:119" x14ac:dyDescent="0.2">
      <c r="A26" s="4">
        <f t="shared" si="0"/>
        <v>9</v>
      </c>
      <c r="B26" s="1"/>
      <c r="C26" s="47"/>
      <c r="D26" s="20"/>
      <c r="E26" s="21"/>
      <c r="F26" s="73"/>
      <c r="G26" s="74"/>
      <c r="H26" s="72"/>
      <c r="I26" s="26"/>
      <c r="J26" s="26"/>
      <c r="K26" s="35"/>
      <c r="L26" s="8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</row>
    <row r="27" spans="1:119" x14ac:dyDescent="0.2">
      <c r="A27" s="4">
        <f t="shared" si="0"/>
        <v>10</v>
      </c>
      <c r="B27" s="1"/>
      <c r="C27" s="47"/>
      <c r="D27" s="20"/>
      <c r="E27" s="21"/>
      <c r="F27" s="73"/>
      <c r="G27" s="74"/>
      <c r="H27" s="72"/>
      <c r="I27" s="26"/>
      <c r="J27" s="26"/>
      <c r="K27" s="35"/>
      <c r="L27" s="81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</row>
    <row r="28" spans="1:119" x14ac:dyDescent="0.2">
      <c r="A28" s="4">
        <f t="shared" si="0"/>
        <v>11</v>
      </c>
      <c r="B28" s="1"/>
      <c r="C28" s="1"/>
      <c r="D28" s="20"/>
      <c r="E28" s="21"/>
      <c r="F28" s="73"/>
      <c r="G28" s="74"/>
      <c r="H28" s="72"/>
      <c r="I28" s="26"/>
      <c r="J28" s="26"/>
      <c r="K28" s="35"/>
      <c r="L28" s="8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</row>
    <row r="29" spans="1:119" x14ac:dyDescent="0.2">
      <c r="A29" s="4">
        <f t="shared" si="0"/>
        <v>12</v>
      </c>
      <c r="B29" s="1"/>
      <c r="C29" s="1"/>
      <c r="D29" s="20"/>
      <c r="E29" s="21"/>
      <c r="F29" s="73"/>
      <c r="G29" s="74"/>
      <c r="H29" s="72"/>
      <c r="I29" s="26"/>
      <c r="J29" s="26"/>
      <c r="K29" s="35"/>
      <c r="L29" s="81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</row>
    <row r="30" spans="1:119" x14ac:dyDescent="0.2">
      <c r="A30" s="4">
        <f t="shared" si="0"/>
        <v>13</v>
      </c>
      <c r="B30" s="1"/>
      <c r="C30" s="1"/>
      <c r="D30" s="20"/>
      <c r="E30" s="21"/>
      <c r="F30" s="73"/>
      <c r="G30" s="74"/>
      <c r="H30" s="72"/>
      <c r="I30" s="26"/>
      <c r="J30" s="26"/>
      <c r="K30" s="35"/>
      <c r="L30" s="81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</row>
    <row r="31" spans="1:119" x14ac:dyDescent="0.2">
      <c r="A31" s="4">
        <f t="shared" si="0"/>
        <v>14</v>
      </c>
      <c r="B31" s="1"/>
      <c r="C31" s="1"/>
      <c r="D31" s="20"/>
      <c r="E31" s="21"/>
      <c r="F31" s="73"/>
      <c r="G31" s="74"/>
      <c r="H31" s="72"/>
      <c r="I31" s="26"/>
      <c r="J31" s="26"/>
      <c r="K31" s="35"/>
      <c r="L31" s="8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</row>
    <row r="32" spans="1:119" x14ac:dyDescent="0.2">
      <c r="A32" s="4">
        <f t="shared" si="0"/>
        <v>15</v>
      </c>
      <c r="B32" s="1"/>
      <c r="C32" s="1"/>
      <c r="D32" s="20"/>
      <c r="E32" s="21"/>
      <c r="F32" s="73"/>
      <c r="G32" s="74"/>
      <c r="H32" s="72"/>
      <c r="I32" s="26"/>
      <c r="J32" s="26"/>
      <c r="K32" s="35"/>
      <c r="L32" s="8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</row>
    <row r="33" spans="1:113" x14ac:dyDescent="0.2">
      <c r="A33" s="4">
        <f t="shared" si="0"/>
        <v>16</v>
      </c>
      <c r="B33" s="1"/>
      <c r="C33" s="1"/>
      <c r="D33" s="20"/>
      <c r="E33" s="21"/>
      <c r="F33" s="73"/>
      <c r="G33" s="74"/>
      <c r="H33" s="72"/>
      <c r="I33" s="26"/>
      <c r="J33" s="26"/>
      <c r="K33" s="35"/>
      <c r="L33" s="8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</row>
    <row r="34" spans="1:113" x14ac:dyDescent="0.2">
      <c r="A34" s="4">
        <f t="shared" si="0"/>
        <v>17</v>
      </c>
      <c r="B34" s="1"/>
      <c r="C34" s="1"/>
      <c r="D34" s="20"/>
      <c r="E34" s="21"/>
      <c r="F34" s="73"/>
      <c r="G34" s="74"/>
      <c r="H34" s="72"/>
      <c r="I34" s="26"/>
      <c r="J34" s="26"/>
      <c r="K34" s="35"/>
      <c r="L34" s="8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</row>
    <row r="35" spans="1:113" x14ac:dyDescent="0.2">
      <c r="A35" s="4">
        <f t="shared" si="0"/>
        <v>18</v>
      </c>
      <c r="B35" s="1"/>
      <c r="C35" s="1"/>
      <c r="D35" s="20"/>
      <c r="E35" s="21"/>
      <c r="F35" s="73"/>
      <c r="G35" s="74"/>
      <c r="H35" s="72"/>
      <c r="I35" s="26"/>
      <c r="J35" s="26"/>
      <c r="K35" s="35"/>
      <c r="L35" s="81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</row>
    <row r="36" spans="1:113" x14ac:dyDescent="0.2">
      <c r="A36" s="4">
        <f t="shared" si="0"/>
        <v>19</v>
      </c>
      <c r="B36" s="1"/>
      <c r="C36" s="1"/>
      <c r="D36" s="20"/>
      <c r="E36" s="21"/>
      <c r="F36" s="73"/>
      <c r="G36" s="74"/>
      <c r="H36" s="72"/>
      <c r="I36" s="26"/>
      <c r="J36" s="26"/>
      <c r="K36" s="35"/>
      <c r="L36" s="81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</row>
    <row r="37" spans="1:113" x14ac:dyDescent="0.2">
      <c r="A37" s="4">
        <f t="shared" si="0"/>
        <v>20</v>
      </c>
      <c r="B37" s="1"/>
      <c r="C37" s="1"/>
      <c r="D37" s="20"/>
      <c r="E37" s="21"/>
      <c r="F37" s="73"/>
      <c r="G37" s="74"/>
      <c r="H37" s="72"/>
      <c r="I37" s="26"/>
      <c r="J37" s="26"/>
      <c r="K37" s="35"/>
      <c r="L37" s="81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</row>
    <row r="38" spans="1:113" x14ac:dyDescent="0.2">
      <c r="A38" s="4">
        <f t="shared" si="0"/>
        <v>21</v>
      </c>
      <c r="B38" s="1"/>
      <c r="C38" s="1"/>
      <c r="D38" s="20"/>
      <c r="E38" s="21"/>
      <c r="F38" s="73"/>
      <c r="G38" s="74"/>
      <c r="H38" s="72"/>
      <c r="I38" s="26"/>
      <c r="J38" s="26"/>
      <c r="K38" s="35"/>
      <c r="L38" s="81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</row>
    <row r="39" spans="1:113" x14ac:dyDescent="0.2">
      <c r="A39" s="4">
        <f t="shared" si="0"/>
        <v>22</v>
      </c>
      <c r="B39" s="1"/>
      <c r="C39" s="1"/>
      <c r="D39" s="20"/>
      <c r="E39" s="21"/>
      <c r="F39" s="73"/>
      <c r="G39" s="74"/>
      <c r="H39" s="72"/>
      <c r="I39" s="26"/>
      <c r="J39" s="26"/>
      <c r="K39" s="35"/>
      <c r="L39" s="81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</row>
    <row r="40" spans="1:113" x14ac:dyDescent="0.2">
      <c r="A40" s="4">
        <f t="shared" si="0"/>
        <v>23</v>
      </c>
      <c r="B40" s="1"/>
      <c r="C40" s="1"/>
      <c r="D40" s="20"/>
      <c r="E40" s="21"/>
      <c r="F40" s="73"/>
      <c r="G40" s="74"/>
      <c r="H40" s="72"/>
      <c r="I40" s="26"/>
      <c r="J40" s="26"/>
      <c r="K40" s="35"/>
      <c r="L40" s="81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</row>
    <row r="41" spans="1:113" x14ac:dyDescent="0.2">
      <c r="A41" s="4">
        <f t="shared" si="0"/>
        <v>24</v>
      </c>
      <c r="B41" s="1"/>
      <c r="C41" s="1"/>
      <c r="D41" s="20"/>
      <c r="E41" s="21"/>
      <c r="F41" s="73"/>
      <c r="G41" s="74"/>
      <c r="H41" s="72"/>
      <c r="I41" s="26"/>
      <c r="J41" s="26"/>
      <c r="K41" s="35"/>
      <c r="L41" s="81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</row>
    <row r="42" spans="1:113" x14ac:dyDescent="0.2">
      <c r="A42" s="4">
        <f t="shared" si="0"/>
        <v>25</v>
      </c>
      <c r="B42" s="1"/>
      <c r="C42" s="1"/>
      <c r="D42" s="20"/>
      <c r="E42" s="21"/>
      <c r="F42" s="73"/>
      <c r="G42" s="74"/>
      <c r="H42" s="72"/>
      <c r="I42" s="26"/>
      <c r="J42" s="26"/>
      <c r="K42" s="35"/>
      <c r="L42" s="81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</row>
    <row r="43" spans="1:113" x14ac:dyDescent="0.2">
      <c r="A43" s="4">
        <f t="shared" si="0"/>
        <v>26</v>
      </c>
      <c r="B43" s="1"/>
      <c r="C43" s="1"/>
      <c r="D43" s="20"/>
      <c r="E43" s="21"/>
      <c r="F43" s="73"/>
      <c r="G43" s="74"/>
      <c r="H43" s="72"/>
      <c r="I43" s="26"/>
      <c r="J43" s="26"/>
      <c r="K43" s="35"/>
      <c r="L43" s="81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</row>
    <row r="44" spans="1:113" x14ac:dyDescent="0.2">
      <c r="A44" s="4">
        <f t="shared" si="0"/>
        <v>27</v>
      </c>
      <c r="B44" s="1"/>
      <c r="C44" s="1"/>
      <c r="D44" s="20"/>
      <c r="E44" s="21"/>
      <c r="F44" s="73"/>
      <c r="G44" s="74"/>
      <c r="H44" s="72"/>
      <c r="I44" s="26"/>
      <c r="J44" s="26"/>
      <c r="K44" s="35"/>
      <c r="L44" s="81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</row>
    <row r="45" spans="1:113" x14ac:dyDescent="0.2">
      <c r="A45" s="4">
        <f t="shared" si="0"/>
        <v>28</v>
      </c>
      <c r="B45" s="1"/>
      <c r="C45" s="1"/>
      <c r="D45" s="20"/>
      <c r="E45" s="21"/>
      <c r="F45" s="73"/>
      <c r="G45" s="74"/>
      <c r="H45" s="72"/>
      <c r="I45" s="26"/>
      <c r="J45" s="26"/>
      <c r="K45" s="35"/>
      <c r="L45" s="81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</row>
    <row r="46" spans="1:113" x14ac:dyDescent="0.2">
      <c r="A46" s="4">
        <f t="shared" si="0"/>
        <v>29</v>
      </c>
      <c r="B46" s="1"/>
      <c r="C46" s="1"/>
      <c r="D46" s="20"/>
      <c r="E46" s="21"/>
      <c r="F46" s="73"/>
      <c r="G46" s="74"/>
      <c r="H46" s="72"/>
      <c r="I46" s="26"/>
      <c r="J46" s="26"/>
      <c r="K46" s="35"/>
      <c r="L46" s="81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</row>
    <row r="47" spans="1:113" x14ac:dyDescent="0.2">
      <c r="A47" s="4">
        <f t="shared" si="0"/>
        <v>30</v>
      </c>
      <c r="B47" s="1"/>
      <c r="C47" s="1"/>
      <c r="D47" s="20"/>
      <c r="E47" s="21"/>
      <c r="F47" s="73"/>
      <c r="G47" s="74"/>
      <c r="H47" s="72"/>
      <c r="I47" s="26"/>
      <c r="J47" s="26"/>
      <c r="K47" s="35"/>
      <c r="L47" s="81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</row>
    <row r="48" spans="1:113" x14ac:dyDescent="0.2">
      <c r="A48" s="4">
        <f t="shared" si="0"/>
        <v>31</v>
      </c>
      <c r="B48" s="1"/>
      <c r="C48" s="1"/>
      <c r="D48" s="20"/>
      <c r="E48" s="21"/>
      <c r="F48" s="73"/>
      <c r="G48" s="74"/>
      <c r="H48" s="72"/>
      <c r="I48" s="26"/>
      <c r="J48" s="26"/>
      <c r="K48" s="35"/>
      <c r="L48" s="81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</row>
    <row r="49" spans="1:113" x14ac:dyDescent="0.2">
      <c r="A49" s="4">
        <f t="shared" si="0"/>
        <v>32</v>
      </c>
      <c r="B49" s="1"/>
      <c r="C49" s="1"/>
      <c r="D49" s="20"/>
      <c r="E49" s="21"/>
      <c r="F49" s="73"/>
      <c r="G49" s="74"/>
      <c r="H49" s="72"/>
      <c r="I49" s="26"/>
      <c r="J49" s="26"/>
      <c r="K49" s="35"/>
      <c r="L49" s="81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</row>
    <row r="50" spans="1:113" x14ac:dyDescent="0.2">
      <c r="A50" s="4">
        <f t="shared" si="0"/>
        <v>33</v>
      </c>
      <c r="B50" s="1"/>
      <c r="C50" s="1"/>
      <c r="D50" s="20"/>
      <c r="E50" s="21"/>
      <c r="F50" s="73"/>
      <c r="G50" s="74"/>
      <c r="H50" s="72"/>
      <c r="I50" s="26"/>
      <c r="J50" s="26"/>
      <c r="K50" s="35"/>
      <c r="L50" s="81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</row>
    <row r="51" spans="1:113" x14ac:dyDescent="0.2">
      <c r="A51" s="4">
        <f t="shared" si="0"/>
        <v>34</v>
      </c>
      <c r="B51" s="1"/>
      <c r="C51" s="1"/>
      <c r="D51" s="20"/>
      <c r="E51" s="21"/>
      <c r="F51" s="73"/>
      <c r="G51" s="74"/>
      <c r="H51" s="72"/>
      <c r="I51" s="26"/>
      <c r="J51" s="26"/>
      <c r="K51" s="35"/>
      <c r="L51" s="81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</row>
    <row r="52" spans="1:113" x14ac:dyDescent="0.2">
      <c r="A52" s="4">
        <f t="shared" si="0"/>
        <v>35</v>
      </c>
      <c r="B52" s="1"/>
      <c r="C52" s="1"/>
      <c r="D52" s="20"/>
      <c r="E52" s="21"/>
      <c r="F52" s="73"/>
      <c r="G52" s="74"/>
      <c r="H52" s="72"/>
      <c r="I52" s="26"/>
      <c r="J52" s="26"/>
      <c r="K52" s="35"/>
      <c r="L52" s="81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</row>
    <row r="53" spans="1:113" x14ac:dyDescent="0.2">
      <c r="A53" s="4">
        <f t="shared" si="0"/>
        <v>36</v>
      </c>
      <c r="B53" s="1"/>
      <c r="C53" s="1"/>
      <c r="D53" s="20"/>
      <c r="E53" s="21"/>
      <c r="F53" s="73"/>
      <c r="G53" s="74"/>
      <c r="H53" s="72"/>
      <c r="I53" s="26"/>
      <c r="J53" s="26"/>
      <c r="K53" s="35"/>
      <c r="L53" s="81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</row>
    <row r="54" spans="1:113" x14ac:dyDescent="0.2">
      <c r="A54" s="4">
        <f t="shared" si="0"/>
        <v>37</v>
      </c>
      <c r="B54" s="1"/>
      <c r="C54" s="1"/>
      <c r="D54" s="20"/>
      <c r="E54" s="21"/>
      <c r="F54" s="73"/>
      <c r="G54" s="74"/>
      <c r="H54" s="72"/>
      <c r="I54" s="26"/>
      <c r="J54" s="26"/>
      <c r="K54" s="35"/>
      <c r="L54" s="81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</row>
    <row r="55" spans="1:113" x14ac:dyDescent="0.2">
      <c r="A55" s="4">
        <f t="shared" si="0"/>
        <v>38</v>
      </c>
      <c r="B55" s="1"/>
      <c r="C55" s="1"/>
      <c r="D55" s="20"/>
      <c r="E55" s="21"/>
      <c r="F55" s="73"/>
      <c r="G55" s="74"/>
      <c r="H55" s="72"/>
      <c r="I55" s="26"/>
      <c r="J55" s="26"/>
      <c r="K55" s="35"/>
      <c r="L55" s="81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</row>
    <row r="56" spans="1:113" x14ac:dyDescent="0.2">
      <c r="A56" s="4">
        <f t="shared" si="0"/>
        <v>39</v>
      </c>
      <c r="B56" s="1"/>
      <c r="C56" s="1"/>
      <c r="D56" s="20"/>
      <c r="E56" s="21"/>
      <c r="F56" s="73"/>
      <c r="G56" s="74"/>
      <c r="H56" s="72"/>
      <c r="I56" s="26"/>
      <c r="J56" s="26"/>
      <c r="K56" s="35"/>
      <c r="L56" s="81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</row>
    <row r="57" spans="1:113" x14ac:dyDescent="0.2">
      <c r="A57" s="4">
        <f t="shared" si="0"/>
        <v>40</v>
      </c>
      <c r="B57" s="1"/>
      <c r="C57" s="1"/>
      <c r="D57" s="20"/>
      <c r="E57" s="21"/>
      <c r="F57" s="73"/>
      <c r="G57" s="74"/>
      <c r="H57" s="72"/>
      <c r="I57" s="26"/>
      <c r="J57" s="26"/>
      <c r="K57" s="35"/>
      <c r="L57" s="81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</row>
    <row r="58" spans="1:113" x14ac:dyDescent="0.2">
      <c r="A58" s="4">
        <f t="shared" si="0"/>
        <v>41</v>
      </c>
      <c r="B58" s="1"/>
      <c r="C58" s="1"/>
      <c r="D58" s="20"/>
      <c r="E58" s="21"/>
      <c r="F58" s="73"/>
      <c r="G58" s="74"/>
      <c r="H58" s="72"/>
      <c r="I58" s="26"/>
      <c r="J58" s="26"/>
      <c r="K58" s="35"/>
      <c r="L58" s="81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</row>
    <row r="59" spans="1:113" x14ac:dyDescent="0.2">
      <c r="A59" s="4">
        <f t="shared" si="0"/>
        <v>42</v>
      </c>
      <c r="B59" s="1"/>
      <c r="C59" s="1"/>
      <c r="D59" s="20"/>
      <c r="E59" s="21"/>
      <c r="F59" s="73"/>
      <c r="G59" s="74"/>
      <c r="H59" s="72"/>
      <c r="I59" s="26"/>
      <c r="J59" s="26"/>
      <c r="K59" s="35"/>
      <c r="L59" s="81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</row>
    <row r="60" spans="1:113" x14ac:dyDescent="0.2">
      <c r="A60" s="4">
        <f>A59+1</f>
        <v>43</v>
      </c>
      <c r="B60" s="1"/>
      <c r="C60" s="1"/>
      <c r="D60" s="20"/>
      <c r="E60" s="21"/>
      <c r="F60" s="73"/>
      <c r="G60" s="74"/>
      <c r="H60" s="72"/>
      <c r="I60" s="26"/>
      <c r="J60" s="26"/>
      <c r="K60" s="35"/>
      <c r="L60" s="81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</row>
    <row r="61" spans="1:113" x14ac:dyDescent="0.2">
      <c r="A61" s="4">
        <f t="shared" si="0"/>
        <v>44</v>
      </c>
      <c r="B61" s="1"/>
      <c r="C61" s="1"/>
      <c r="D61" s="20"/>
      <c r="E61" s="21"/>
      <c r="F61" s="73"/>
      <c r="G61" s="74"/>
      <c r="H61" s="72"/>
      <c r="I61" s="26"/>
      <c r="J61" s="26"/>
      <c r="K61" s="35"/>
      <c r="L61" s="81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</row>
    <row r="62" spans="1:113" x14ac:dyDescent="0.2">
      <c r="A62" s="4">
        <f t="shared" si="0"/>
        <v>45</v>
      </c>
      <c r="B62" s="1"/>
      <c r="C62" s="1"/>
      <c r="D62" s="20"/>
      <c r="E62" s="21"/>
      <c r="F62" s="73"/>
      <c r="G62" s="74"/>
      <c r="H62" s="72"/>
      <c r="I62" s="26"/>
      <c r="J62" s="26"/>
      <c r="K62" s="35"/>
      <c r="L62" s="81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</row>
    <row r="63" spans="1:113" x14ac:dyDescent="0.2">
      <c r="A63" s="4">
        <f t="shared" si="0"/>
        <v>46</v>
      </c>
      <c r="B63" s="1"/>
      <c r="C63" s="1"/>
      <c r="D63" s="20"/>
      <c r="E63" s="21"/>
      <c r="F63" s="73"/>
      <c r="G63" s="74"/>
      <c r="H63" s="72"/>
      <c r="I63" s="26"/>
      <c r="J63" s="26"/>
      <c r="K63" s="35"/>
      <c r="L63" s="81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</row>
    <row r="64" spans="1:113" x14ac:dyDescent="0.2">
      <c r="A64" s="4">
        <f t="shared" si="0"/>
        <v>47</v>
      </c>
      <c r="B64" s="1"/>
      <c r="C64" s="1"/>
      <c r="D64" s="20"/>
      <c r="E64" s="21"/>
      <c r="F64" s="73"/>
      <c r="G64" s="74"/>
      <c r="H64" s="72"/>
      <c r="I64" s="26"/>
      <c r="J64" s="26"/>
      <c r="K64" s="35"/>
      <c r="L64" s="81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</row>
    <row r="65" spans="1:113" x14ac:dyDescent="0.2">
      <c r="A65" s="4">
        <f t="shared" si="0"/>
        <v>48</v>
      </c>
      <c r="B65" s="1"/>
      <c r="C65" s="1"/>
      <c r="D65" s="20"/>
      <c r="E65" s="21"/>
      <c r="F65" s="73"/>
      <c r="G65" s="74"/>
      <c r="H65" s="72"/>
      <c r="I65" s="26"/>
      <c r="J65" s="26"/>
      <c r="K65" s="35"/>
      <c r="L65" s="81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</row>
    <row r="66" spans="1:113" x14ac:dyDescent="0.2">
      <c r="A66" s="4">
        <f t="shared" si="0"/>
        <v>49</v>
      </c>
      <c r="B66" s="1"/>
      <c r="C66" s="1"/>
      <c r="D66" s="20"/>
      <c r="E66" s="21"/>
      <c r="F66" s="73"/>
      <c r="G66" s="74"/>
      <c r="H66" s="72"/>
      <c r="I66" s="26"/>
      <c r="J66" s="26"/>
      <c r="K66" s="35"/>
      <c r="L66" s="81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</row>
    <row r="67" spans="1:113" x14ac:dyDescent="0.2">
      <c r="A67" s="4">
        <f t="shared" si="0"/>
        <v>50</v>
      </c>
      <c r="B67" s="1"/>
      <c r="C67" s="1"/>
      <c r="D67" s="20"/>
      <c r="E67" s="21"/>
      <c r="F67" s="73"/>
      <c r="G67" s="74"/>
      <c r="H67" s="72"/>
      <c r="I67" s="26"/>
      <c r="J67" s="26"/>
      <c r="K67" s="35"/>
      <c r="L67" s="81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</row>
  </sheetData>
  <mergeCells count="4">
    <mergeCell ref="B10:G10"/>
    <mergeCell ref="D12:E12"/>
    <mergeCell ref="F12:G12"/>
    <mergeCell ref="I12:J12"/>
  </mergeCells>
  <phoneticPr fontId="7" type="noConversion"/>
  <conditionalFormatting sqref="B18:B67">
    <cfRule type="cellIs" dxfId="12" priority="3" operator="equal">
      <formula>"No"</formula>
    </cfRule>
    <cfRule type="cellIs" dxfId="11" priority="4" operator="equal">
      <formula>"Yes"</formula>
    </cfRule>
  </conditionalFormatting>
  <conditionalFormatting sqref="C16:DI16">
    <cfRule type="expression" dxfId="10" priority="8">
      <formula>C$15="IN"</formula>
    </cfRule>
    <cfRule type="expression" dxfId="9" priority="11">
      <formula>C$15="OUT"</formula>
    </cfRule>
    <cfRule type="expression" dxfId="8" priority="18">
      <formula>C$15="SKIP"</formula>
    </cfRule>
  </conditionalFormatting>
  <conditionalFormatting sqref="C17:DI17">
    <cfRule type="expression" dxfId="7" priority="9">
      <formula>C$15="IN"</formula>
    </cfRule>
    <cfRule type="expression" dxfId="6" priority="12">
      <formula>C$15="OUT"</formula>
    </cfRule>
    <cfRule type="expression" dxfId="5" priority="20">
      <formula>C$15="SKIP"</formula>
    </cfRule>
  </conditionalFormatting>
  <conditionalFormatting sqref="D15:DI15">
    <cfRule type="expression" dxfId="4" priority="7">
      <formula>D$15="IN"</formula>
    </cfRule>
    <cfRule type="expression" dxfId="3" priority="10">
      <formula>D$15="OUT"</formula>
    </cfRule>
    <cfRule type="expression" dxfId="2" priority="17">
      <formula>D$15="SKIP"</formula>
    </cfRule>
  </conditionalFormatting>
  <conditionalFormatting sqref="K18:K67">
    <cfRule type="cellIs" dxfId="1" priority="5" stopIfTrue="1" operator="greaterThan">
      <formula>1</formula>
    </cfRule>
    <cfRule type="dataBar" priority="6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{62A80730-A607-4FBF-BE4B-12EBDD103DEC}</x14:id>
        </ext>
      </extLst>
    </cfRule>
  </conditionalFormatting>
  <dataValidations count="3">
    <dataValidation type="list" allowBlank="1" showInputMessage="1" showErrorMessage="1" sqref="H18:J67" xr:uid="{D623612D-335D-4033-A546-53829FE68DE7}">
      <formula1>"*,TRUE,FALSE"</formula1>
    </dataValidation>
    <dataValidation type="list" allowBlank="1" showInputMessage="1" showErrorMessage="1" sqref="B18:B67" xr:uid="{813BBC55-6494-4579-9710-95312211D828}">
      <formula1>"Yes, No"</formula1>
    </dataValidation>
    <dataValidation type="list" allowBlank="1" showInputMessage="1" showErrorMessage="1" sqref="D15:DI15" xr:uid="{D6880CA9-389A-468B-A1DE-3A9C559DF079}">
      <formula1>"IN, OUT, SKIP"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A80730-A607-4FBF-BE4B-12EBDD103D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K18:K67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TESCH</dc:creator>
  <cp:lastModifiedBy>Mitchell Tesch</cp:lastModifiedBy>
  <dcterms:created xsi:type="dcterms:W3CDTF">2022-12-07T10:24:03Z</dcterms:created>
  <dcterms:modified xsi:type="dcterms:W3CDTF">2026-05-29T05:52:14Z</dcterms:modified>
</cp:coreProperties>
</file>